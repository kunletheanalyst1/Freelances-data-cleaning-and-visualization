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User\Documents\"/>
    </mc:Choice>
  </mc:AlternateContent>
  <xr:revisionPtr revIDLastSave="0" documentId="8_{03BD9798-B2C7-41AD-938F-9A95B5195595}" xr6:coauthVersionLast="47" xr6:coauthVersionMax="47" xr10:uidLastSave="{00000000-0000-0000-0000-000000000000}"/>
  <bookViews>
    <workbookView xWindow="-110" yWindow="-110" windowWidth="19420" windowHeight="10300" activeTab="1" xr2:uid="{A47098DB-0BF8-4F8F-A103-DD9B22D40BB8}"/>
  </bookViews>
  <sheets>
    <sheet name="Sheet2" sheetId="7" r:id="rId1"/>
    <sheet name="Dashboard" sheetId="10" r:id="rId2"/>
    <sheet name="Data" sheetId="1" r:id="rId3"/>
  </sheets>
  <externalReferences>
    <externalReference r:id="rId4"/>
    <externalReference r:id="rId5"/>
  </externalReferences>
  <definedNames>
    <definedName name="_xlnm._FilterDatabase" localSheetId="2" hidden="1">Data!$A$1:$P$1001</definedName>
    <definedName name="_xlcn.WorksheetConnection_Sheet1AO" hidden="1">Data!$A:$P</definedName>
    <definedName name="Slicer_primary_skill">#N/A</definedName>
    <definedName name="Slicer_status">#N/A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O"/>
        </x15:modelTables>
      </x15:dataModel>
    </ext>
  </extLst>
</workbook>
</file>

<file path=xl/calcChain.xml><?xml version="1.0" encoding="utf-8"?>
<calcChain xmlns="http://schemas.openxmlformats.org/spreadsheetml/2006/main">
  <c r="M3" i="1" l="1"/>
  <c r="M4" i="1"/>
  <c r="N4" i="1" s="1"/>
  <c r="M5" i="1"/>
  <c r="N5" i="1" s="1"/>
  <c r="M6" i="1"/>
  <c r="N6" i="1" s="1"/>
  <c r="M7" i="1"/>
  <c r="N7" i="1" s="1"/>
  <c r="M8" i="1"/>
  <c r="M9" i="1"/>
  <c r="M10" i="1"/>
  <c r="N10" i="1" s="1"/>
  <c r="M11" i="1"/>
  <c r="N11" i="1" s="1"/>
  <c r="M12" i="1"/>
  <c r="N12" i="1" s="1"/>
  <c r="M13" i="1"/>
  <c r="N13" i="1" s="1"/>
  <c r="M14" i="1"/>
  <c r="N14" i="1" s="1"/>
  <c r="M15" i="1"/>
  <c r="M16" i="1"/>
  <c r="N16" i="1" s="1"/>
  <c r="M17" i="1"/>
  <c r="N17" i="1" s="1"/>
  <c r="M18" i="1"/>
  <c r="N18" i="1" s="1"/>
  <c r="M19" i="1"/>
  <c r="N19" i="1" s="1"/>
  <c r="M20" i="1"/>
  <c r="M21" i="1"/>
  <c r="M22" i="1"/>
  <c r="N22" i="1" s="1"/>
  <c r="M23" i="1"/>
  <c r="N23" i="1" s="1"/>
  <c r="M24" i="1"/>
  <c r="M25" i="1"/>
  <c r="N25" i="1" s="1"/>
  <c r="M26" i="1"/>
  <c r="N26" i="1" s="1"/>
  <c r="M27" i="1"/>
  <c r="M28" i="1"/>
  <c r="N28" i="1" s="1"/>
  <c r="M29" i="1"/>
  <c r="N29" i="1" s="1"/>
  <c r="M30" i="1"/>
  <c r="N30" i="1" s="1"/>
  <c r="M31" i="1"/>
  <c r="M32" i="1"/>
  <c r="N32" i="1" s="1"/>
  <c r="M33" i="1"/>
  <c r="M34" i="1"/>
  <c r="N34" i="1" s="1"/>
  <c r="M35" i="1"/>
  <c r="N35" i="1" s="1"/>
  <c r="M36" i="1"/>
  <c r="N36" i="1" s="1"/>
  <c r="M37" i="1"/>
  <c r="N37" i="1" s="1"/>
  <c r="M38" i="1"/>
  <c r="N38" i="1" s="1"/>
  <c r="M39" i="1"/>
  <c r="N39" i="1" s="1"/>
  <c r="M40" i="1"/>
  <c r="N40" i="1" s="1"/>
  <c r="M41" i="1"/>
  <c r="N41" i="1" s="1"/>
  <c r="M42" i="1"/>
  <c r="M43" i="1"/>
  <c r="N43" i="1" s="1"/>
  <c r="M44" i="1"/>
  <c r="N44" i="1" s="1"/>
  <c r="M45" i="1"/>
  <c r="N45" i="1" s="1"/>
  <c r="M46" i="1"/>
  <c r="N46" i="1" s="1"/>
  <c r="M47" i="1"/>
  <c r="N47" i="1" s="1"/>
  <c r="M48" i="1"/>
  <c r="M49" i="1"/>
  <c r="N49" i="1" s="1"/>
  <c r="M50" i="1"/>
  <c r="N50" i="1" s="1"/>
  <c r="M51" i="1"/>
  <c r="N51" i="1" s="1"/>
  <c r="M52" i="1"/>
  <c r="N52" i="1" s="1"/>
  <c r="M53" i="1"/>
  <c r="N53" i="1" s="1"/>
  <c r="M54" i="1"/>
  <c r="N54" i="1" s="1"/>
  <c r="M55" i="1"/>
  <c r="N55" i="1" s="1"/>
  <c r="M56" i="1"/>
  <c r="N56" i="1" s="1"/>
  <c r="M57" i="1"/>
  <c r="N57" i="1" s="1"/>
  <c r="M58" i="1"/>
  <c r="N58" i="1" s="1"/>
  <c r="M59" i="1"/>
  <c r="M60" i="1"/>
  <c r="N60" i="1" s="1"/>
  <c r="M61" i="1"/>
  <c r="N61" i="1" s="1"/>
  <c r="M62" i="1"/>
  <c r="N62" i="1" s="1"/>
  <c r="M63" i="1"/>
  <c r="N63" i="1" s="1"/>
  <c r="M64" i="1"/>
  <c r="N64" i="1" s="1"/>
  <c r="M65" i="1"/>
  <c r="M66" i="1"/>
  <c r="N66" i="1" s="1"/>
  <c r="M67" i="1"/>
  <c r="N67" i="1" s="1"/>
  <c r="M68" i="1"/>
  <c r="M69" i="1"/>
  <c r="N69" i="1" s="1"/>
  <c r="M70" i="1"/>
  <c r="N70" i="1" s="1"/>
  <c r="M71" i="1"/>
  <c r="N71" i="1" s="1"/>
  <c r="M72" i="1"/>
  <c r="N72" i="1" s="1"/>
  <c r="M73" i="1"/>
  <c r="M74" i="1"/>
  <c r="N74" i="1" s="1"/>
  <c r="M75" i="1"/>
  <c r="N75" i="1" s="1"/>
  <c r="M76" i="1"/>
  <c r="N76" i="1" s="1"/>
  <c r="M77" i="1"/>
  <c r="N77" i="1" s="1"/>
  <c r="M78" i="1"/>
  <c r="M79" i="1"/>
  <c r="M80" i="1"/>
  <c r="N80" i="1" s="1"/>
  <c r="M81" i="1"/>
  <c r="N81" i="1" s="1"/>
  <c r="M82" i="1"/>
  <c r="N82" i="1" s="1"/>
  <c r="M83" i="1"/>
  <c r="M84" i="1"/>
  <c r="N84" i="1" s="1"/>
  <c r="M85" i="1"/>
  <c r="N85" i="1" s="1"/>
  <c r="M86" i="1"/>
  <c r="N86" i="1" s="1"/>
  <c r="M87" i="1"/>
  <c r="N87" i="1" s="1"/>
  <c r="M88" i="1"/>
  <c r="N88" i="1" s="1"/>
  <c r="M89" i="1"/>
  <c r="N89" i="1" s="1"/>
  <c r="M90" i="1"/>
  <c r="N90" i="1" s="1"/>
  <c r="M91" i="1"/>
  <c r="N91" i="1" s="1"/>
  <c r="M92" i="1"/>
  <c r="M93" i="1"/>
  <c r="N93" i="1" s="1"/>
  <c r="M94" i="1"/>
  <c r="M95" i="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M114" i="1"/>
  <c r="M115" i="1"/>
  <c r="N115" i="1" s="1"/>
  <c r="M116" i="1"/>
  <c r="M117" i="1"/>
  <c r="N117" i="1" s="1"/>
  <c r="M118" i="1"/>
  <c r="M119" i="1"/>
  <c r="M120" i="1"/>
  <c r="N120" i="1" s="1"/>
  <c r="M121" i="1"/>
  <c r="N121" i="1" s="1"/>
  <c r="M122" i="1"/>
  <c r="N122" i="1" s="1"/>
  <c r="M123" i="1"/>
  <c r="N123" i="1" s="1"/>
  <c r="M124" i="1"/>
  <c r="M125" i="1"/>
  <c r="N125" i="1" s="1"/>
  <c r="M126" i="1"/>
  <c r="N126" i="1" s="1"/>
  <c r="M127" i="1"/>
  <c r="N127" i="1" s="1"/>
  <c r="M128" i="1"/>
  <c r="N128" i="1" s="1"/>
  <c r="M129" i="1"/>
  <c r="N129" i="1" s="1"/>
  <c r="M130" i="1"/>
  <c r="N130" i="1" s="1"/>
  <c r="M131" i="1"/>
  <c r="N131" i="1" s="1"/>
  <c r="M132" i="1"/>
  <c r="M133" i="1"/>
  <c r="N133" i="1" s="1"/>
  <c r="M134" i="1"/>
  <c r="N134" i="1" s="1"/>
  <c r="M135" i="1"/>
  <c r="N135" i="1" s="1"/>
  <c r="M136" i="1"/>
  <c r="N136" i="1" s="1"/>
  <c r="M137" i="1"/>
  <c r="N137" i="1" s="1"/>
  <c r="M138" i="1"/>
  <c r="M139" i="1"/>
  <c r="M140" i="1"/>
  <c r="N140" i="1" s="1"/>
  <c r="M141" i="1"/>
  <c r="N141" i="1" s="1"/>
  <c r="M142" i="1"/>
  <c r="N142" i="1" s="1"/>
  <c r="M143" i="1"/>
  <c r="M144" i="1"/>
  <c r="N144" i="1" s="1"/>
  <c r="M145" i="1"/>
  <c r="N145" i="1" s="1"/>
  <c r="M146" i="1"/>
  <c r="M147" i="1"/>
  <c r="N147" i="1" s="1"/>
  <c r="M148" i="1"/>
  <c r="N148" i="1" s="1"/>
  <c r="M149" i="1"/>
  <c r="N149" i="1" s="1"/>
  <c r="M150" i="1"/>
  <c r="N150" i="1" s="1"/>
  <c r="M151" i="1"/>
  <c r="N151" i="1" s="1"/>
  <c r="M152" i="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M165" i="1"/>
  <c r="M166" i="1"/>
  <c r="N166" i="1" s="1"/>
  <c r="M167" i="1"/>
  <c r="M168" i="1"/>
  <c r="N168" i="1" s="1"/>
  <c r="M169" i="1"/>
  <c r="N169" i="1" s="1"/>
  <c r="M170" i="1"/>
  <c r="N170" i="1" s="1"/>
  <c r="M171" i="1"/>
  <c r="N171" i="1" s="1"/>
  <c r="M172" i="1"/>
  <c r="N172" i="1" s="1"/>
  <c r="M173" i="1"/>
  <c r="N173" i="1" s="1"/>
  <c r="M174" i="1"/>
  <c r="M175" i="1"/>
  <c r="M176" i="1"/>
  <c r="N176" i="1" s="1"/>
  <c r="M177" i="1"/>
  <c r="N177" i="1" s="1"/>
  <c r="M178" i="1"/>
  <c r="N178" i="1" s="1"/>
  <c r="M179" i="1"/>
  <c r="N179" i="1" s="1"/>
  <c r="M180" i="1"/>
  <c r="M181" i="1"/>
  <c r="N181" i="1" s="1"/>
  <c r="M182" i="1"/>
  <c r="N182" i="1" s="1"/>
  <c r="M183" i="1"/>
  <c r="N183" i="1" s="1"/>
  <c r="M184" i="1"/>
  <c r="N184" i="1" s="1"/>
  <c r="M185" i="1"/>
  <c r="N185" i="1" s="1"/>
  <c r="M186" i="1"/>
  <c r="N186" i="1" s="1"/>
  <c r="M187" i="1"/>
  <c r="N187" i="1" s="1"/>
  <c r="M188" i="1"/>
  <c r="N188" i="1" s="1"/>
  <c r="M189" i="1"/>
  <c r="N189" i="1" s="1"/>
  <c r="M190" i="1"/>
  <c r="M191" i="1"/>
  <c r="N191" i="1" s="1"/>
  <c r="M192" i="1"/>
  <c r="N192" i="1" s="1"/>
  <c r="M193" i="1"/>
  <c r="N193" i="1" s="1"/>
  <c r="M194" i="1"/>
  <c r="N194" i="1" s="1"/>
  <c r="M195" i="1"/>
  <c r="N195" i="1" s="1"/>
  <c r="M196" i="1"/>
  <c r="M197" i="1"/>
  <c r="N197" i="1" s="1"/>
  <c r="M198" i="1"/>
  <c r="N198" i="1" s="1"/>
  <c r="M199" i="1"/>
  <c r="N199" i="1" s="1"/>
  <c r="M200" i="1"/>
  <c r="N200" i="1" s="1"/>
  <c r="M201" i="1"/>
  <c r="N201" i="1" s="1"/>
  <c r="M202" i="1"/>
  <c r="N202" i="1" s="1"/>
  <c r="M203" i="1"/>
  <c r="N203" i="1" s="1"/>
  <c r="M204" i="1"/>
  <c r="M205" i="1"/>
  <c r="N205" i="1" s="1"/>
  <c r="M206" i="1"/>
  <c r="N206" i="1" s="1"/>
  <c r="M207" i="1"/>
  <c r="N207" i="1" s="1"/>
  <c r="M208" i="1"/>
  <c r="N208" i="1" s="1"/>
  <c r="M209" i="1"/>
  <c r="N209" i="1" s="1"/>
  <c r="M210" i="1"/>
  <c r="N210" i="1" s="1"/>
  <c r="M211" i="1"/>
  <c r="N211" i="1" s="1"/>
  <c r="M212" i="1"/>
  <c r="M213" i="1"/>
  <c r="N213" i="1" s="1"/>
  <c r="M214" i="1"/>
  <c r="N214" i="1" s="1"/>
  <c r="M215" i="1"/>
  <c r="N215" i="1" s="1"/>
  <c r="M216" i="1"/>
  <c r="N216" i="1" s="1"/>
  <c r="M217" i="1"/>
  <c r="N217" i="1" s="1"/>
  <c r="M218" i="1"/>
  <c r="N218" i="1" s="1"/>
  <c r="M219" i="1"/>
  <c r="M220" i="1"/>
  <c r="N220" i="1" s="1"/>
  <c r="M221" i="1"/>
  <c r="N221" i="1" s="1"/>
  <c r="M222" i="1"/>
  <c r="N222" i="1" s="1"/>
  <c r="M223" i="1"/>
  <c r="N223" i="1" s="1"/>
  <c r="M224" i="1"/>
  <c r="M225" i="1"/>
  <c r="N225" i="1" s="1"/>
  <c r="M226" i="1"/>
  <c r="N226" i="1" s="1"/>
  <c r="M227" i="1"/>
  <c r="N227" i="1" s="1"/>
  <c r="M228" i="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M241" i="1"/>
  <c r="M242" i="1"/>
  <c r="N242" i="1" s="1"/>
  <c r="M243" i="1"/>
  <c r="N243" i="1" s="1"/>
  <c r="M244" i="1"/>
  <c r="N244" i="1" s="1"/>
  <c r="M245" i="1"/>
  <c r="N245" i="1" s="1"/>
  <c r="M246" i="1"/>
  <c r="N246" i="1" s="1"/>
  <c r="M247" i="1"/>
  <c r="N247" i="1" s="1"/>
  <c r="M248" i="1"/>
  <c r="N248" i="1" s="1"/>
  <c r="M249" i="1"/>
  <c r="N249" i="1" s="1"/>
  <c r="M250" i="1"/>
  <c r="N250" i="1" s="1"/>
  <c r="M251" i="1"/>
  <c r="N251" i="1" s="1"/>
  <c r="M252" i="1"/>
  <c r="M253" i="1"/>
  <c r="N253" i="1" s="1"/>
  <c r="M254" i="1"/>
  <c r="N254" i="1" s="1"/>
  <c r="M255" i="1"/>
  <c r="N255" i="1" s="1"/>
  <c r="M256" i="1"/>
  <c r="N256" i="1" s="1"/>
  <c r="M257" i="1"/>
  <c r="N257" i="1" s="1"/>
  <c r="M258" i="1"/>
  <c r="N258" i="1" s="1"/>
  <c r="M259" i="1"/>
  <c r="N259" i="1" s="1"/>
  <c r="M260" i="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M274" i="1"/>
  <c r="N274" i="1" s="1"/>
  <c r="M275" i="1"/>
  <c r="M276" i="1"/>
  <c r="N276" i="1" s="1"/>
  <c r="M277" i="1"/>
  <c r="M278" i="1"/>
  <c r="N278" i="1" s="1"/>
  <c r="M279" i="1"/>
  <c r="N279" i="1" s="1"/>
  <c r="M280" i="1"/>
  <c r="N280" i="1" s="1"/>
  <c r="M281" i="1"/>
  <c r="M282" i="1"/>
  <c r="N282" i="1" s="1"/>
  <c r="M283" i="1"/>
  <c r="N283" i="1" s="1"/>
  <c r="M284" i="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M306" i="1"/>
  <c r="N306" i="1" s="1"/>
  <c r="M307" i="1"/>
  <c r="N307" i="1" s="1"/>
  <c r="M308" i="1"/>
  <c r="N308" i="1" s="1"/>
  <c r="M309" i="1"/>
  <c r="N309" i="1" s="1"/>
  <c r="M310" i="1"/>
  <c r="M311" i="1"/>
  <c r="M312" i="1"/>
  <c r="N312" i="1" s="1"/>
  <c r="M313" i="1"/>
  <c r="N313" i="1" s="1"/>
  <c r="M314" i="1"/>
  <c r="N314" i="1" s="1"/>
  <c r="M315" i="1"/>
  <c r="N315" i="1" s="1"/>
  <c r="M316" i="1"/>
  <c r="M317" i="1"/>
  <c r="M318" i="1"/>
  <c r="N318" i="1" s="1"/>
  <c r="M319" i="1"/>
  <c r="N319" i="1" s="1"/>
  <c r="M320" i="1"/>
  <c r="N320" i="1" s="1"/>
  <c r="M321" i="1"/>
  <c r="M322" i="1"/>
  <c r="N322" i="1" s="1"/>
  <c r="M323" i="1"/>
  <c r="N323" i="1" s="1"/>
  <c r="M324" i="1"/>
  <c r="N324" i="1" s="1"/>
  <c r="M325" i="1"/>
  <c r="N325" i="1" s="1"/>
  <c r="M326" i="1"/>
  <c r="N326" i="1" s="1"/>
  <c r="M327" i="1"/>
  <c r="N327" i="1" s="1"/>
  <c r="M328" i="1"/>
  <c r="N328" i="1" s="1"/>
  <c r="M329" i="1"/>
  <c r="N329" i="1" s="1"/>
  <c r="M330" i="1"/>
  <c r="N330" i="1" s="1"/>
  <c r="M331" i="1"/>
  <c r="M332" i="1"/>
  <c r="N332" i="1" s="1"/>
  <c r="M333" i="1"/>
  <c r="N333" i="1" s="1"/>
  <c r="M334" i="1"/>
  <c r="N334" i="1" s="1"/>
  <c r="M335" i="1"/>
  <c r="M336" i="1"/>
  <c r="M337" i="1"/>
  <c r="N337" i="1" s="1"/>
  <c r="M338" i="1"/>
  <c r="N338" i="1" s="1"/>
  <c r="M339" i="1"/>
  <c r="N339" i="1" s="1"/>
  <c r="M340" i="1"/>
  <c r="N340" i="1" s="1"/>
  <c r="M341" i="1"/>
  <c r="M342" i="1"/>
  <c r="M343" i="1"/>
  <c r="N343" i="1" s="1"/>
  <c r="M344" i="1"/>
  <c r="M345" i="1"/>
  <c r="N345" i="1" s="1"/>
  <c r="M346" i="1"/>
  <c r="N346" i="1" s="1"/>
  <c r="M347" i="1"/>
  <c r="M348" i="1"/>
  <c r="N348" i="1" s="1"/>
  <c r="M349" i="1"/>
  <c r="M350" i="1"/>
  <c r="N350" i="1" s="1"/>
  <c r="M351" i="1"/>
  <c r="N351" i="1" s="1"/>
  <c r="M352" i="1"/>
  <c r="N352" i="1" s="1"/>
  <c r="M353" i="1"/>
  <c r="N353" i="1" s="1"/>
  <c r="M354" i="1"/>
  <c r="N354" i="1" s="1"/>
  <c r="M355" i="1"/>
  <c r="N355" i="1" s="1"/>
  <c r="M356" i="1"/>
  <c r="M357" i="1"/>
  <c r="N357" i="1" s="1"/>
  <c r="M358" i="1"/>
  <c r="N358" i="1" s="1"/>
  <c r="M359" i="1"/>
  <c r="N359" i="1" s="1"/>
  <c r="M360" i="1"/>
  <c r="N360" i="1" s="1"/>
  <c r="M361" i="1"/>
  <c r="N361" i="1" s="1"/>
  <c r="M362" i="1"/>
  <c r="M363" i="1"/>
  <c r="M364" i="1"/>
  <c r="N364" i="1" s="1"/>
  <c r="M365" i="1"/>
  <c r="N365" i="1" s="1"/>
  <c r="M366" i="1"/>
  <c r="N366" i="1" s="1"/>
  <c r="M367" i="1"/>
  <c r="N367" i="1" s="1"/>
  <c r="M368" i="1"/>
  <c r="M369" i="1"/>
  <c r="N369" i="1" s="1"/>
  <c r="M370" i="1"/>
  <c r="N370" i="1" s="1"/>
  <c r="M371" i="1"/>
  <c r="N371" i="1" s="1"/>
  <c r="M372" i="1"/>
  <c r="M373" i="1"/>
  <c r="M374" i="1"/>
  <c r="N374" i="1" s="1"/>
  <c r="M375" i="1"/>
  <c r="N375" i="1" s="1"/>
  <c r="M376" i="1"/>
  <c r="N376" i="1" s="1"/>
  <c r="M377" i="1"/>
  <c r="N377" i="1" s="1"/>
  <c r="M378" i="1"/>
  <c r="N378" i="1" s="1"/>
  <c r="M379" i="1"/>
  <c r="M380" i="1"/>
  <c r="N380" i="1" s="1"/>
  <c r="M381" i="1"/>
  <c r="N381" i="1" s="1"/>
  <c r="M382" i="1"/>
  <c r="N382" i="1" s="1"/>
  <c r="M383" i="1"/>
  <c r="N383" i="1" s="1"/>
  <c r="M384" i="1"/>
  <c r="N384" i="1" s="1"/>
  <c r="M385" i="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M402" i="1"/>
  <c r="N402" i="1" s="1"/>
  <c r="M403" i="1"/>
  <c r="N403" i="1" s="1"/>
  <c r="M404" i="1"/>
  <c r="N404" i="1" s="1"/>
  <c r="M405" i="1"/>
  <c r="N405" i="1" s="1"/>
  <c r="M406" i="1"/>
  <c r="N406" i="1" s="1"/>
  <c r="M407" i="1"/>
  <c r="N407" i="1" s="1"/>
  <c r="M408" i="1"/>
  <c r="N408" i="1" s="1"/>
  <c r="M409" i="1"/>
  <c r="M410" i="1"/>
  <c r="M411" i="1"/>
  <c r="N411" i="1" s="1"/>
  <c r="M412" i="1"/>
  <c r="N412" i="1" s="1"/>
  <c r="M413" i="1"/>
  <c r="N413" i="1" s="1"/>
  <c r="M414" i="1"/>
  <c r="N414" i="1" s="1"/>
  <c r="M415" i="1"/>
  <c r="N415" i="1" s="1"/>
  <c r="M416" i="1"/>
  <c r="N416" i="1" s="1"/>
  <c r="M417" i="1"/>
  <c r="N417" i="1" s="1"/>
  <c r="M418" i="1"/>
  <c r="N418" i="1" s="1"/>
  <c r="M419" i="1"/>
  <c r="N419" i="1" s="1"/>
  <c r="M420" i="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M434" i="1"/>
  <c r="N434" i="1" s="1"/>
  <c r="M435" i="1"/>
  <c r="M436" i="1"/>
  <c r="M437" i="1"/>
  <c r="N437" i="1" s="1"/>
  <c r="M438" i="1"/>
  <c r="N438" i="1" s="1"/>
  <c r="M439" i="1"/>
  <c r="N439" i="1" s="1"/>
  <c r="M440" i="1"/>
  <c r="N440" i="1" s="1"/>
  <c r="M441" i="1"/>
  <c r="M442" i="1"/>
  <c r="N442" i="1" s="1"/>
  <c r="M443" i="1"/>
  <c r="M444" i="1"/>
  <c r="N444" i="1" s="1"/>
  <c r="M445" i="1"/>
  <c r="N445" i="1" s="1"/>
  <c r="M446" i="1"/>
  <c r="N446" i="1" s="1"/>
  <c r="M447" i="1"/>
  <c r="N447" i="1" s="1"/>
  <c r="M448" i="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M468" i="1"/>
  <c r="N468" i="1" s="1"/>
  <c r="M469" i="1"/>
  <c r="N469" i="1" s="1"/>
  <c r="M470" i="1"/>
  <c r="M471" i="1"/>
  <c r="N471" i="1" s="1"/>
  <c r="M472" i="1"/>
  <c r="N472" i="1" s="1"/>
  <c r="M473" i="1"/>
  <c r="N473" i="1" s="1"/>
  <c r="M474" i="1"/>
  <c r="N474" i="1" s="1"/>
  <c r="M475" i="1"/>
  <c r="N475" i="1" s="1"/>
  <c r="M476" i="1"/>
  <c r="N476" i="1" s="1"/>
  <c r="M477" i="1"/>
  <c r="N477" i="1" s="1"/>
  <c r="M478" i="1"/>
  <c r="N478" i="1" s="1"/>
  <c r="M479" i="1"/>
  <c r="M480" i="1"/>
  <c r="N480" i="1" s="1"/>
  <c r="M481" i="1"/>
  <c r="N481" i="1" s="1"/>
  <c r="M482" i="1"/>
  <c r="N482" i="1" s="1"/>
  <c r="M483" i="1"/>
  <c r="N483" i="1" s="1"/>
  <c r="M484" i="1"/>
  <c r="N484" i="1" s="1"/>
  <c r="M485" i="1"/>
  <c r="N485" i="1" s="1"/>
  <c r="M486" i="1"/>
  <c r="N486" i="1" s="1"/>
  <c r="M487" i="1"/>
  <c r="N487" i="1" s="1"/>
  <c r="M488" i="1"/>
  <c r="N488" i="1" s="1"/>
  <c r="M489" i="1"/>
  <c r="N489" i="1" s="1"/>
  <c r="M490" i="1"/>
  <c r="M491" i="1"/>
  <c r="N491" i="1" s="1"/>
  <c r="M492" i="1"/>
  <c r="N492" i="1" s="1"/>
  <c r="M493" i="1"/>
  <c r="N493" i="1" s="1"/>
  <c r="M494" i="1"/>
  <c r="N494" i="1" s="1"/>
  <c r="M495" i="1"/>
  <c r="N495" i="1" s="1"/>
  <c r="M496" i="1"/>
  <c r="N496" i="1" s="1"/>
  <c r="M497" i="1"/>
  <c r="N497" i="1" s="1"/>
  <c r="M498" i="1"/>
  <c r="N498" i="1" s="1"/>
  <c r="M499" i="1"/>
  <c r="N499" i="1" s="1"/>
  <c r="M500" i="1"/>
  <c r="M501" i="1"/>
  <c r="N501" i="1" s="1"/>
  <c r="M502" i="1"/>
  <c r="M503" i="1"/>
  <c r="N503" i="1" s="1"/>
  <c r="M504" i="1"/>
  <c r="M505" i="1"/>
  <c r="N505" i="1" s="1"/>
  <c r="M506" i="1"/>
  <c r="M507" i="1"/>
  <c r="N507" i="1" s="1"/>
  <c r="M508" i="1"/>
  <c r="N508" i="1" s="1"/>
  <c r="M509" i="1"/>
  <c r="M510" i="1"/>
  <c r="N510" i="1" s="1"/>
  <c r="M511" i="1"/>
  <c r="M512" i="1"/>
  <c r="N512" i="1" s="1"/>
  <c r="M513" i="1"/>
  <c r="N513" i="1" s="1"/>
  <c r="M514" i="1"/>
  <c r="N514" i="1" s="1"/>
  <c r="M515" i="1"/>
  <c r="N515" i="1" s="1"/>
  <c r="M516" i="1"/>
  <c r="M517" i="1"/>
  <c r="N517" i="1" s="1"/>
  <c r="M518" i="1"/>
  <c r="M519" i="1"/>
  <c r="N519" i="1" s="1"/>
  <c r="M520" i="1"/>
  <c r="M521" i="1"/>
  <c r="M522" i="1"/>
  <c r="N522" i="1" s="1"/>
  <c r="M523" i="1"/>
  <c r="M524" i="1"/>
  <c r="N524" i="1" s="1"/>
  <c r="M525" i="1"/>
  <c r="N525" i="1" s="1"/>
  <c r="M526" i="1"/>
  <c r="N526" i="1" s="1"/>
  <c r="M527" i="1"/>
  <c r="N527" i="1" s="1"/>
  <c r="M528" i="1"/>
  <c r="M529" i="1"/>
  <c r="N529" i="1" s="1"/>
  <c r="M530" i="1"/>
  <c r="N530" i="1" s="1"/>
  <c r="M531" i="1"/>
  <c r="N531" i="1" s="1"/>
  <c r="M532" i="1"/>
  <c r="N532" i="1" s="1"/>
  <c r="M533" i="1"/>
  <c r="M534" i="1"/>
  <c r="N534" i="1" s="1"/>
  <c r="M535" i="1"/>
  <c r="N535" i="1" s="1"/>
  <c r="M536" i="1"/>
  <c r="N536" i="1" s="1"/>
  <c r="M537" i="1"/>
  <c r="N537" i="1" s="1"/>
  <c r="M538" i="1"/>
  <c r="N538" i="1" s="1"/>
  <c r="M539" i="1"/>
  <c r="N539" i="1" s="1"/>
  <c r="M540" i="1"/>
  <c r="N540" i="1" s="1"/>
  <c r="M541" i="1"/>
  <c r="M542" i="1"/>
  <c r="N542" i="1" s="1"/>
  <c r="M543" i="1"/>
  <c r="M544" i="1"/>
  <c r="N544" i="1" s="1"/>
  <c r="M545" i="1"/>
  <c r="N545" i="1" s="1"/>
  <c r="M546" i="1"/>
  <c r="N546" i="1" s="1"/>
  <c r="M547" i="1"/>
  <c r="N547" i="1" s="1"/>
  <c r="M548" i="1"/>
  <c r="N548" i="1" s="1"/>
  <c r="M549" i="1"/>
  <c r="N549" i="1" s="1"/>
  <c r="M550" i="1"/>
  <c r="N550" i="1" s="1"/>
  <c r="M551" i="1"/>
  <c r="M552" i="1"/>
  <c r="N552" i="1" s="1"/>
  <c r="M553" i="1"/>
  <c r="N553" i="1" s="1"/>
  <c r="M554" i="1"/>
  <c r="N554" i="1" s="1"/>
  <c r="M555" i="1"/>
  <c r="N555" i="1" s="1"/>
  <c r="M556" i="1"/>
  <c r="N556" i="1" s="1"/>
  <c r="M557" i="1"/>
  <c r="N557" i="1" s="1"/>
  <c r="M558" i="1"/>
  <c r="M559" i="1"/>
  <c r="N559" i="1" s="1"/>
  <c r="M560" i="1"/>
  <c r="N560" i="1" s="1"/>
  <c r="M561" i="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M579" i="1"/>
  <c r="M580" i="1"/>
  <c r="N580" i="1" s="1"/>
  <c r="M581" i="1"/>
  <c r="N581" i="1" s="1"/>
  <c r="M582" i="1"/>
  <c r="N582" i="1" s="1"/>
  <c r="M583" i="1"/>
  <c r="M584" i="1"/>
  <c r="M585" i="1"/>
  <c r="N585" i="1" s="1"/>
  <c r="M586" i="1"/>
  <c r="M587" i="1"/>
  <c r="M588" i="1"/>
  <c r="N588" i="1" s="1"/>
  <c r="M589" i="1"/>
  <c r="N589" i="1" s="1"/>
  <c r="M590" i="1"/>
  <c r="N590" i="1" s="1"/>
  <c r="M591" i="1"/>
  <c r="M592" i="1"/>
  <c r="M593" i="1"/>
  <c r="N593" i="1" s="1"/>
  <c r="M594" i="1"/>
  <c r="N594" i="1" s="1"/>
  <c r="M595" i="1"/>
  <c r="M596" i="1"/>
  <c r="N596" i="1" s="1"/>
  <c r="M597" i="1"/>
  <c r="N597" i="1" s="1"/>
  <c r="M598" i="1"/>
  <c r="M599" i="1"/>
  <c r="N599" i="1" s="1"/>
  <c r="M600" i="1"/>
  <c r="N600" i="1" s="1"/>
  <c r="M601" i="1"/>
  <c r="N601" i="1" s="1"/>
  <c r="M602" i="1"/>
  <c r="N602" i="1" s="1"/>
  <c r="M603" i="1"/>
  <c r="M604" i="1"/>
  <c r="N604" i="1" s="1"/>
  <c r="M605" i="1"/>
  <c r="N605" i="1" s="1"/>
  <c r="M606" i="1"/>
  <c r="N606" i="1" s="1"/>
  <c r="M607" i="1"/>
  <c r="N607" i="1" s="1"/>
  <c r="M608" i="1"/>
  <c r="N608" i="1" s="1"/>
  <c r="M609" i="1"/>
  <c r="N609" i="1" s="1"/>
  <c r="M610" i="1"/>
  <c r="M611" i="1"/>
  <c r="N611" i="1" s="1"/>
  <c r="M612" i="1"/>
  <c r="N612" i="1" s="1"/>
  <c r="M613" i="1"/>
  <c r="M614" i="1"/>
  <c r="N614" i="1" s="1"/>
  <c r="M615" i="1"/>
  <c r="N615" i="1" s="1"/>
  <c r="M616" i="1"/>
  <c r="M617" i="1"/>
  <c r="M618" i="1"/>
  <c r="N618" i="1" s="1"/>
  <c r="M619" i="1"/>
  <c r="M620" i="1"/>
  <c r="N620" i="1" s="1"/>
  <c r="M621" i="1"/>
  <c r="N621" i="1" s="1"/>
  <c r="M622" i="1"/>
  <c r="N622" i="1" s="1"/>
  <c r="M623" i="1"/>
  <c r="N623" i="1" s="1"/>
  <c r="M624" i="1"/>
  <c r="N624" i="1" s="1"/>
  <c r="M625" i="1"/>
  <c r="M626" i="1"/>
  <c r="M627" i="1"/>
  <c r="N627" i="1" s="1"/>
  <c r="M628" i="1"/>
  <c r="N628" i="1" s="1"/>
  <c r="M629" i="1"/>
  <c r="M630" i="1"/>
  <c r="M631" i="1"/>
  <c r="N631" i="1" s="1"/>
  <c r="M632" i="1"/>
  <c r="N632" i="1" s="1"/>
  <c r="M633" i="1"/>
  <c r="N633" i="1" s="1"/>
  <c r="M634" i="1"/>
  <c r="N634" i="1" s="1"/>
  <c r="M635" i="1"/>
  <c r="N635" i="1" s="1"/>
  <c r="M636" i="1"/>
  <c r="N636" i="1" s="1"/>
  <c r="M637" i="1"/>
  <c r="N637" i="1" s="1"/>
  <c r="M638" i="1"/>
  <c r="N638" i="1" s="1"/>
  <c r="M639" i="1"/>
  <c r="N639" i="1" s="1"/>
  <c r="M640" i="1"/>
  <c r="M641" i="1"/>
  <c r="N641" i="1" s="1"/>
  <c r="M642" i="1"/>
  <c r="N642" i="1" s="1"/>
  <c r="M643" i="1"/>
  <c r="M644" i="1"/>
  <c r="N644" i="1" s="1"/>
  <c r="M645" i="1"/>
  <c r="M646" i="1"/>
  <c r="N646" i="1" s="1"/>
  <c r="M647" i="1"/>
  <c r="N647" i="1" s="1"/>
  <c r="M648" i="1"/>
  <c r="N648" i="1" s="1"/>
  <c r="M649" i="1"/>
  <c r="N649" i="1" s="1"/>
  <c r="M650" i="1"/>
  <c r="N650" i="1" s="1"/>
  <c r="M651" i="1"/>
  <c r="N651" i="1" s="1"/>
  <c r="M652" i="1"/>
  <c r="N652" i="1" s="1"/>
  <c r="M653" i="1"/>
  <c r="M654" i="1"/>
  <c r="N654" i="1" s="1"/>
  <c r="M655" i="1"/>
  <c r="N655" i="1" s="1"/>
  <c r="M656" i="1"/>
  <c r="N656" i="1" s="1"/>
  <c r="M657" i="1"/>
  <c r="N657" i="1" s="1"/>
  <c r="M658" i="1"/>
  <c r="N658" i="1" s="1"/>
  <c r="M659" i="1"/>
  <c r="M660" i="1"/>
  <c r="N660" i="1" s="1"/>
  <c r="M661" i="1"/>
  <c r="N661" i="1" s="1"/>
  <c r="M662" i="1"/>
  <c r="N662" i="1" s="1"/>
  <c r="M663" i="1"/>
  <c r="N663" i="1" s="1"/>
  <c r="M664" i="1"/>
  <c r="M665" i="1"/>
  <c r="N665" i="1" s="1"/>
  <c r="M666" i="1"/>
  <c r="N666" i="1" s="1"/>
  <c r="M667" i="1"/>
  <c r="M668" i="1"/>
  <c r="N668" i="1" s="1"/>
  <c r="M669" i="1"/>
  <c r="N669" i="1" s="1"/>
  <c r="M670" i="1"/>
  <c r="N670" i="1" s="1"/>
  <c r="M671" i="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M685" i="1"/>
  <c r="M686" i="1"/>
  <c r="N686" i="1" s="1"/>
  <c r="M687" i="1"/>
  <c r="M688" i="1"/>
  <c r="M689" i="1"/>
  <c r="M690" i="1"/>
  <c r="N690" i="1" s="1"/>
  <c r="M691" i="1"/>
  <c r="N691" i="1" s="1"/>
  <c r="M692" i="1"/>
  <c r="M693" i="1"/>
  <c r="M694" i="1"/>
  <c r="N694" i="1" s="1"/>
  <c r="M695" i="1"/>
  <c r="N695" i="1" s="1"/>
  <c r="M696" i="1"/>
  <c r="N696" i="1" s="1"/>
  <c r="M697" i="1"/>
  <c r="M698" i="1"/>
  <c r="N698" i="1" s="1"/>
  <c r="M699" i="1"/>
  <c r="N699" i="1" s="1"/>
  <c r="M700" i="1"/>
  <c r="N700" i="1" s="1"/>
  <c r="M701" i="1"/>
  <c r="M702" i="1"/>
  <c r="N702" i="1" s="1"/>
  <c r="M703" i="1"/>
  <c r="N703" i="1" s="1"/>
  <c r="M704" i="1"/>
  <c r="N704" i="1" s="1"/>
  <c r="M705" i="1"/>
  <c r="N705" i="1" s="1"/>
  <c r="M706" i="1"/>
  <c r="M707" i="1"/>
  <c r="N707" i="1" s="1"/>
  <c r="M708" i="1"/>
  <c r="N708" i="1" s="1"/>
  <c r="M709" i="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M724" i="1"/>
  <c r="N724" i="1" s="1"/>
  <c r="M725" i="1"/>
  <c r="M726" i="1"/>
  <c r="N726" i="1" s="1"/>
  <c r="M727" i="1"/>
  <c r="N727" i="1" s="1"/>
  <c r="M728" i="1"/>
  <c r="M729" i="1"/>
  <c r="N729" i="1" s="1"/>
  <c r="M730" i="1"/>
  <c r="N730" i="1" s="1"/>
  <c r="M731" i="1"/>
  <c r="N731" i="1" s="1"/>
  <c r="M732" i="1"/>
  <c r="M733" i="1"/>
  <c r="N733" i="1" s="1"/>
  <c r="M734" i="1"/>
  <c r="N734" i="1" s="1"/>
  <c r="M735" i="1"/>
  <c r="N735" i="1" s="1"/>
  <c r="M736" i="1"/>
  <c r="M737" i="1"/>
  <c r="N737" i="1" s="1"/>
  <c r="M738" i="1"/>
  <c r="N738" i="1" s="1"/>
  <c r="M739" i="1"/>
  <c r="M740" i="1"/>
  <c r="N740" i="1" s="1"/>
  <c r="M741" i="1"/>
  <c r="N741" i="1" s="1"/>
  <c r="M742" i="1"/>
  <c r="N742" i="1" s="1"/>
  <c r="M743" i="1"/>
  <c r="N743" i="1" s="1"/>
  <c r="M744" i="1"/>
  <c r="M745" i="1"/>
  <c r="M746" i="1"/>
  <c r="M747" i="1"/>
  <c r="N747" i="1" s="1"/>
  <c r="M748" i="1"/>
  <c r="N748" i="1" s="1"/>
  <c r="M749" i="1"/>
  <c r="M750" i="1"/>
  <c r="N750" i="1" s="1"/>
  <c r="M751" i="1"/>
  <c r="M752" i="1"/>
  <c r="M753" i="1"/>
  <c r="N753" i="1" s="1"/>
  <c r="M754" i="1"/>
  <c r="N754" i="1" s="1"/>
  <c r="M755" i="1"/>
  <c r="N755" i="1" s="1"/>
  <c r="M756" i="1"/>
  <c r="N756" i="1" s="1"/>
  <c r="M757" i="1"/>
  <c r="M758" i="1"/>
  <c r="N758" i="1" s="1"/>
  <c r="M759" i="1"/>
  <c r="M760" i="1"/>
  <c r="N760" i="1" s="1"/>
  <c r="M761" i="1"/>
  <c r="M762" i="1"/>
  <c r="N762" i="1" s="1"/>
  <c r="M763" i="1"/>
  <c r="N763" i="1" s="1"/>
  <c r="M764" i="1"/>
  <c r="N764" i="1" s="1"/>
  <c r="M765" i="1"/>
  <c r="N765" i="1" s="1"/>
  <c r="M766" i="1"/>
  <c r="N766" i="1" s="1"/>
  <c r="M767" i="1"/>
  <c r="N767" i="1" s="1"/>
  <c r="M768" i="1"/>
  <c r="M769" i="1"/>
  <c r="M770" i="1"/>
  <c r="N770" i="1" s="1"/>
  <c r="M771" i="1"/>
  <c r="N771" i="1" s="1"/>
  <c r="M772" i="1"/>
  <c r="M773" i="1"/>
  <c r="M774" i="1"/>
  <c r="N774" i="1" s="1"/>
  <c r="M775" i="1"/>
  <c r="N775" i="1" s="1"/>
  <c r="M776" i="1"/>
  <c r="M777" i="1"/>
  <c r="N777" i="1" s="1"/>
  <c r="M778" i="1"/>
  <c r="N778" i="1" s="1"/>
  <c r="M779" i="1"/>
  <c r="N779" i="1" s="1"/>
  <c r="M780" i="1"/>
  <c r="M781" i="1"/>
  <c r="N781" i="1" s="1"/>
  <c r="M782" i="1"/>
  <c r="N782" i="1" s="1"/>
  <c r="M783" i="1"/>
  <c r="N783" i="1" s="1"/>
  <c r="M784" i="1"/>
  <c r="N784" i="1" s="1"/>
  <c r="M785" i="1"/>
  <c r="M786" i="1"/>
  <c r="N786" i="1" s="1"/>
  <c r="M787" i="1"/>
  <c r="N787" i="1" s="1"/>
  <c r="M788" i="1"/>
  <c r="N788" i="1" s="1"/>
  <c r="M789" i="1"/>
  <c r="N789" i="1" s="1"/>
  <c r="M790" i="1"/>
  <c r="N790" i="1" s="1"/>
  <c r="M791" i="1"/>
  <c r="N791" i="1" s="1"/>
  <c r="M792" i="1"/>
  <c r="N792" i="1" s="1"/>
  <c r="M793" i="1"/>
  <c r="N793" i="1" s="1"/>
  <c r="M794" i="1"/>
  <c r="N794" i="1" s="1"/>
  <c r="M795" i="1"/>
  <c r="N795" i="1" s="1"/>
  <c r="M796" i="1"/>
  <c r="M797" i="1"/>
  <c r="N797" i="1" s="1"/>
  <c r="M798" i="1"/>
  <c r="N798" i="1" s="1"/>
  <c r="M799" i="1"/>
  <c r="N799" i="1" s="1"/>
  <c r="M800" i="1"/>
  <c r="N800" i="1" s="1"/>
  <c r="M801" i="1"/>
  <c r="N801" i="1" s="1"/>
  <c r="M802" i="1"/>
  <c r="N802" i="1" s="1"/>
  <c r="M803" i="1"/>
  <c r="M804" i="1"/>
  <c r="M805" i="1"/>
  <c r="N805" i="1" s="1"/>
  <c r="M806" i="1"/>
  <c r="N806" i="1" s="1"/>
  <c r="M807" i="1"/>
  <c r="M808" i="1"/>
  <c r="N808" i="1" s="1"/>
  <c r="M809" i="1"/>
  <c r="N809" i="1" s="1"/>
  <c r="M810" i="1"/>
  <c r="N810" i="1" s="1"/>
  <c r="M811" i="1"/>
  <c r="N811" i="1" s="1"/>
  <c r="M812" i="1"/>
  <c r="N812" i="1" s="1"/>
  <c r="M813" i="1"/>
  <c r="N813" i="1" s="1"/>
  <c r="M814" i="1"/>
  <c r="N814" i="1" s="1"/>
  <c r="M815" i="1"/>
  <c r="N815" i="1" s="1"/>
  <c r="M816" i="1"/>
  <c r="N816" i="1" s="1"/>
  <c r="M817" i="1"/>
  <c r="N817" i="1" s="1"/>
  <c r="M818" i="1"/>
  <c r="M819" i="1"/>
  <c r="N819" i="1" s="1"/>
  <c r="M820" i="1"/>
  <c r="M821" i="1"/>
  <c r="N821" i="1" s="1"/>
  <c r="M822" i="1"/>
  <c r="N822" i="1" s="1"/>
  <c r="M823" i="1"/>
  <c r="N823" i="1" s="1"/>
  <c r="M824" i="1"/>
  <c r="N824" i="1" s="1"/>
  <c r="M825" i="1"/>
  <c r="N825" i="1" s="1"/>
  <c r="M826" i="1"/>
  <c r="M827" i="1"/>
  <c r="N827" i="1" s="1"/>
  <c r="M828" i="1"/>
  <c r="N828" i="1" s="1"/>
  <c r="M829" i="1"/>
  <c r="N829" i="1" s="1"/>
  <c r="M830" i="1"/>
  <c r="N830" i="1" s="1"/>
  <c r="M831" i="1"/>
  <c r="N831" i="1" s="1"/>
  <c r="M832" i="1"/>
  <c r="N832" i="1" s="1"/>
  <c r="M833" i="1"/>
  <c r="N833" i="1" s="1"/>
  <c r="M834" i="1"/>
  <c r="N834" i="1" s="1"/>
  <c r="M835" i="1"/>
  <c r="N835" i="1" s="1"/>
  <c r="M836" i="1"/>
  <c r="N836" i="1" s="1"/>
  <c r="M837" i="1"/>
  <c r="M838" i="1"/>
  <c r="M839" i="1"/>
  <c r="N839" i="1" s="1"/>
  <c r="M840" i="1"/>
  <c r="M841" i="1"/>
  <c r="N841" i="1" s="1"/>
  <c r="M842" i="1"/>
  <c r="N842" i="1" s="1"/>
  <c r="M843" i="1"/>
  <c r="M844" i="1"/>
  <c r="M845" i="1"/>
  <c r="N845" i="1" s="1"/>
  <c r="M846" i="1"/>
  <c r="N846" i="1" s="1"/>
  <c r="M847" i="1"/>
  <c r="M848" i="1"/>
  <c r="N848" i="1" s="1"/>
  <c r="M849" i="1"/>
  <c r="N849" i="1" s="1"/>
  <c r="M850" i="1"/>
  <c r="M851" i="1"/>
  <c r="N851" i="1" s="1"/>
  <c r="M852" i="1"/>
  <c r="N852" i="1" s="1"/>
  <c r="M853" i="1"/>
  <c r="N853" i="1" s="1"/>
  <c r="M854" i="1"/>
  <c r="N854" i="1" s="1"/>
  <c r="M855" i="1"/>
  <c r="N855" i="1" s="1"/>
  <c r="M856" i="1"/>
  <c r="M857" i="1"/>
  <c r="N857" i="1" s="1"/>
  <c r="M858" i="1"/>
  <c r="M859" i="1"/>
  <c r="M860" i="1"/>
  <c r="N860" i="1" s="1"/>
  <c r="M861" i="1"/>
  <c r="N861" i="1" s="1"/>
  <c r="M862" i="1"/>
  <c r="N862" i="1" s="1"/>
  <c r="M863" i="1"/>
  <c r="N863" i="1" s="1"/>
  <c r="M864" i="1"/>
  <c r="N864" i="1" s="1"/>
  <c r="M865" i="1"/>
  <c r="N865" i="1" s="1"/>
  <c r="M866" i="1"/>
  <c r="N866" i="1" s="1"/>
  <c r="M867" i="1"/>
  <c r="N867" i="1" s="1"/>
  <c r="M868" i="1"/>
  <c r="M869" i="1"/>
  <c r="N869" i="1" s="1"/>
  <c r="M870" i="1"/>
  <c r="N870" i="1" s="1"/>
  <c r="M871" i="1"/>
  <c r="N871" i="1" s="1"/>
  <c r="M872" i="1"/>
  <c r="N872" i="1" s="1"/>
  <c r="M873" i="1"/>
  <c r="N873" i="1" s="1"/>
  <c r="M874" i="1"/>
  <c r="N874" i="1" s="1"/>
  <c r="M875" i="1"/>
  <c r="N875" i="1" s="1"/>
  <c r="M876" i="1"/>
  <c r="M877" i="1"/>
  <c r="N877" i="1" s="1"/>
  <c r="M878" i="1"/>
  <c r="N878" i="1" s="1"/>
  <c r="M879" i="1"/>
  <c r="N879" i="1" s="1"/>
  <c r="M880" i="1"/>
  <c r="N880" i="1" s="1"/>
  <c r="M881" i="1"/>
  <c r="N881" i="1" s="1"/>
  <c r="M882" i="1"/>
  <c r="N882" i="1" s="1"/>
  <c r="M883" i="1"/>
  <c r="M884" i="1"/>
  <c r="M885" i="1"/>
  <c r="N885" i="1" s="1"/>
  <c r="M886" i="1"/>
  <c r="N886" i="1" s="1"/>
  <c r="M887" i="1"/>
  <c r="N887" i="1" s="1"/>
  <c r="M888" i="1"/>
  <c r="N888" i="1" s="1"/>
  <c r="M889" i="1"/>
  <c r="N889" i="1" s="1"/>
  <c r="M890" i="1"/>
  <c r="N890" i="1" s="1"/>
  <c r="M891" i="1"/>
  <c r="N891" i="1" s="1"/>
  <c r="M892" i="1"/>
  <c r="M893" i="1"/>
  <c r="M894" i="1"/>
  <c r="N894" i="1" s="1"/>
  <c r="M895" i="1"/>
  <c r="N895" i="1" s="1"/>
  <c r="M896" i="1"/>
  <c r="N896" i="1" s="1"/>
  <c r="M897" i="1"/>
  <c r="N897" i="1" s="1"/>
  <c r="M898" i="1"/>
  <c r="N898" i="1" s="1"/>
  <c r="M899" i="1"/>
  <c r="N899" i="1" s="1"/>
  <c r="M900" i="1"/>
  <c r="N900" i="1" s="1"/>
  <c r="M901" i="1"/>
  <c r="N901" i="1" s="1"/>
  <c r="M902" i="1"/>
  <c r="N902" i="1" s="1"/>
  <c r="M903" i="1"/>
  <c r="N903" i="1" s="1"/>
  <c r="M904" i="1"/>
  <c r="M905" i="1"/>
  <c r="M906" i="1"/>
  <c r="N906" i="1" s="1"/>
  <c r="M907" i="1"/>
  <c r="N907" i="1" s="1"/>
  <c r="M908" i="1"/>
  <c r="N908" i="1" s="1"/>
  <c r="M909" i="1"/>
  <c r="M910" i="1"/>
  <c r="N910" i="1" s="1"/>
  <c r="M911" i="1"/>
  <c r="N911" i="1" s="1"/>
  <c r="M912" i="1"/>
  <c r="N912" i="1" s="1"/>
  <c r="M913" i="1"/>
  <c r="N913" i="1" s="1"/>
  <c r="M914" i="1"/>
  <c r="N914" i="1" s="1"/>
  <c r="M915" i="1"/>
  <c r="M916" i="1"/>
  <c r="M917" i="1"/>
  <c r="M918" i="1"/>
  <c r="N918" i="1" s="1"/>
  <c r="M919" i="1"/>
  <c r="N919" i="1" s="1"/>
  <c r="M920" i="1"/>
  <c r="N920" i="1" s="1"/>
  <c r="M921" i="1"/>
  <c r="N921" i="1" s="1"/>
  <c r="M922" i="1"/>
  <c r="N922" i="1" s="1"/>
  <c r="M923" i="1"/>
  <c r="N923" i="1" s="1"/>
  <c r="M924" i="1"/>
  <c r="N924" i="1" s="1"/>
  <c r="M925" i="1"/>
  <c r="N925" i="1" s="1"/>
  <c r="M926" i="1"/>
  <c r="N926" i="1" s="1"/>
  <c r="M927" i="1"/>
  <c r="N927" i="1" s="1"/>
  <c r="M928" i="1"/>
  <c r="M929" i="1"/>
  <c r="N929" i="1" s="1"/>
  <c r="M930" i="1"/>
  <c r="N930" i="1" s="1"/>
  <c r="M931" i="1"/>
  <c r="N931" i="1" s="1"/>
  <c r="M932" i="1"/>
  <c r="N932" i="1" s="1"/>
  <c r="M933" i="1"/>
  <c r="M934" i="1"/>
  <c r="N934" i="1" s="1"/>
  <c r="M935" i="1"/>
  <c r="N935" i="1" s="1"/>
  <c r="M936" i="1"/>
  <c r="N936" i="1" s="1"/>
  <c r="M937" i="1"/>
  <c r="M938" i="1"/>
  <c r="N938" i="1" s="1"/>
  <c r="M939" i="1"/>
  <c r="N939" i="1" s="1"/>
  <c r="M940" i="1"/>
  <c r="M941" i="1"/>
  <c r="N941" i="1" s="1"/>
  <c r="M942" i="1"/>
  <c r="N942" i="1" s="1"/>
  <c r="M943" i="1"/>
  <c r="N943" i="1" s="1"/>
  <c r="M944" i="1"/>
  <c r="N944" i="1" s="1"/>
  <c r="M945" i="1"/>
  <c r="N945" i="1" s="1"/>
  <c r="M946" i="1"/>
  <c r="M947" i="1"/>
  <c r="N947" i="1" s="1"/>
  <c r="M948" i="1"/>
  <c r="N948" i="1" s="1"/>
  <c r="M949" i="1"/>
  <c r="N949" i="1" s="1"/>
  <c r="M950" i="1"/>
  <c r="M951" i="1"/>
  <c r="N951" i="1" s="1"/>
  <c r="M952" i="1"/>
  <c r="N952" i="1" s="1"/>
  <c r="M953" i="1"/>
  <c r="N953" i="1" s="1"/>
  <c r="M954" i="1"/>
  <c r="N954" i="1" s="1"/>
  <c r="M955" i="1"/>
  <c r="N955" i="1" s="1"/>
  <c r="M956" i="1"/>
  <c r="N956" i="1" s="1"/>
  <c r="M957" i="1"/>
  <c r="M958" i="1"/>
  <c r="M959" i="1"/>
  <c r="N959" i="1" s="1"/>
  <c r="M960" i="1"/>
  <c r="N960" i="1" s="1"/>
  <c r="M961" i="1"/>
  <c r="N961" i="1" s="1"/>
  <c r="M962" i="1"/>
  <c r="M963" i="1"/>
  <c r="N963" i="1" s="1"/>
  <c r="M964" i="1"/>
  <c r="N964" i="1" s="1"/>
  <c r="M965" i="1"/>
  <c r="N965" i="1" s="1"/>
  <c r="M966" i="1"/>
  <c r="N966" i="1" s="1"/>
  <c r="M967" i="1"/>
  <c r="N967" i="1" s="1"/>
  <c r="M968" i="1"/>
  <c r="N968" i="1" s="1"/>
  <c r="M969" i="1"/>
  <c r="N969" i="1" s="1"/>
  <c r="M970" i="1"/>
  <c r="N970" i="1" s="1"/>
  <c r="M971" i="1"/>
  <c r="N971" i="1" s="1"/>
  <c r="M972" i="1"/>
  <c r="M973" i="1"/>
  <c r="N973" i="1" s="1"/>
  <c r="M974" i="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M990" i="1"/>
  <c r="N990" i="1" s="1"/>
  <c r="M991" i="1"/>
  <c r="N991" i="1" s="1"/>
  <c r="M992" i="1"/>
  <c r="N992" i="1" s="1"/>
  <c r="M993" i="1"/>
  <c r="M994" i="1"/>
  <c r="N994" i="1" s="1"/>
  <c r="M995" i="1"/>
  <c r="N995" i="1" s="1"/>
  <c r="M996" i="1"/>
  <c r="N996" i="1" s="1"/>
  <c r="M997" i="1"/>
  <c r="N997" i="1" s="1"/>
  <c r="M998" i="1"/>
  <c r="M999" i="1"/>
  <c r="N999" i="1" s="1"/>
  <c r="M1000" i="1"/>
  <c r="N1000" i="1" s="1"/>
  <c r="M1001" i="1"/>
  <c r="N1001" i="1" s="1"/>
  <c r="M2" i="1"/>
  <c r="N2" i="1" s="1"/>
  <c r="P1001" i="1"/>
  <c r="P1000" i="1"/>
  <c r="P998" i="1"/>
  <c r="P995" i="1"/>
  <c r="P992" i="1"/>
  <c r="P990" i="1"/>
  <c r="P988" i="1"/>
  <c r="P985" i="1"/>
  <c r="P962" i="1"/>
  <c r="P956" i="1"/>
  <c r="P955" i="1"/>
  <c r="P940" i="1"/>
  <c r="P936" i="1"/>
  <c r="P928" i="1"/>
  <c r="P908" i="1"/>
  <c r="P907" i="1"/>
  <c r="P901" i="1"/>
  <c r="P896" i="1"/>
  <c r="P893" i="1"/>
  <c r="P892" i="1"/>
  <c r="P860" i="1"/>
  <c r="P852" i="1"/>
  <c r="P839" i="1"/>
  <c r="P835" i="1"/>
  <c r="P830" i="1"/>
  <c r="P825" i="1"/>
  <c r="P804" i="1"/>
  <c r="P803" i="1"/>
  <c r="P798" i="1"/>
  <c r="P790" i="1"/>
  <c r="P786" i="1"/>
  <c r="P784" i="1"/>
  <c r="P751" i="1"/>
  <c r="P750" i="1"/>
  <c r="P749" i="1"/>
  <c r="P747" i="1"/>
  <c r="P730" i="1"/>
  <c r="P727" i="1"/>
  <c r="P726" i="1"/>
  <c r="P710" i="1"/>
  <c r="P704" i="1"/>
  <c r="P703" i="1"/>
  <c r="P686" i="1"/>
  <c r="P684" i="1"/>
  <c r="P675" i="1"/>
  <c r="P670" i="1"/>
  <c r="P662" i="1"/>
  <c r="P655" i="1"/>
  <c r="P652" i="1"/>
  <c r="P651" i="1"/>
  <c r="P635" i="1"/>
  <c r="P631" i="1"/>
  <c r="P628" i="1"/>
  <c r="P627" i="1"/>
  <c r="P605" i="1"/>
  <c r="P603" i="1"/>
  <c r="P596" i="1"/>
  <c r="P595" i="1"/>
  <c r="P581" i="1"/>
  <c r="P552" i="1"/>
  <c r="P547" i="1"/>
  <c r="P539" i="1"/>
  <c r="P532" i="1"/>
  <c r="P518" i="1"/>
  <c r="P515" i="1"/>
  <c r="P482" i="1"/>
  <c r="P477" i="1"/>
  <c r="P471" i="1"/>
  <c r="P468" i="1"/>
  <c r="P467" i="1"/>
  <c r="P448" i="1"/>
  <c r="P445" i="1"/>
  <c r="P444" i="1"/>
  <c r="P419" i="1"/>
  <c r="P406" i="1"/>
  <c r="P397" i="1"/>
  <c r="P381" i="1"/>
  <c r="P378" i="1"/>
  <c r="P368" i="1"/>
  <c r="P365" i="1"/>
  <c r="P357" i="1"/>
  <c r="P351" i="1"/>
  <c r="P349" i="1"/>
  <c r="P337" i="1"/>
  <c r="P328" i="1"/>
  <c r="P313" i="1"/>
  <c r="P291" i="1"/>
  <c r="P280" i="1"/>
  <c r="P271" i="1"/>
  <c r="P261" i="1"/>
  <c r="P260" i="1"/>
  <c r="P253" i="1"/>
  <c r="P248" i="1"/>
  <c r="P247" i="1"/>
  <c r="P231" i="1"/>
  <c r="P212" i="1"/>
  <c r="P210" i="1"/>
  <c r="P206" i="1"/>
  <c r="P202" i="1"/>
  <c r="P170" i="1"/>
  <c r="P157" i="1"/>
  <c r="P146" i="1"/>
  <c r="P139" i="1"/>
  <c r="P132" i="1"/>
  <c r="P123" i="1"/>
  <c r="P111" i="1"/>
  <c r="P103" i="1"/>
  <c r="P99" i="1"/>
  <c r="P83" i="1"/>
  <c r="P78" i="1"/>
  <c r="P75" i="1"/>
  <c r="P67" i="1"/>
  <c r="P35" i="1"/>
  <c r="P26" i="1"/>
  <c r="P999" i="1"/>
  <c r="P997" i="1"/>
  <c r="P996" i="1"/>
  <c r="P994" i="1"/>
  <c r="P993" i="1"/>
  <c r="P991" i="1"/>
  <c r="P989" i="1"/>
  <c r="P987" i="1"/>
  <c r="P986" i="1"/>
  <c r="P984" i="1"/>
  <c r="P983" i="1"/>
  <c r="P981" i="1"/>
  <c r="P980" i="1"/>
  <c r="P979" i="1"/>
  <c r="P977" i="1"/>
  <c r="P976" i="1"/>
  <c r="P975" i="1"/>
  <c r="P974" i="1"/>
  <c r="P973" i="1"/>
  <c r="P972" i="1"/>
  <c r="P971" i="1"/>
  <c r="P969" i="1"/>
  <c r="P968" i="1"/>
  <c r="P967" i="1"/>
  <c r="P965" i="1"/>
  <c r="P964" i="1"/>
  <c r="P963" i="1"/>
  <c r="P960" i="1"/>
  <c r="P959" i="1"/>
  <c r="P958" i="1"/>
  <c r="P957" i="1"/>
  <c r="P954" i="1"/>
  <c r="P953" i="1"/>
  <c r="P952" i="1"/>
  <c r="P951" i="1"/>
  <c r="P950" i="1"/>
  <c r="P949" i="1"/>
  <c r="P948" i="1"/>
  <c r="P947" i="1"/>
  <c r="P946" i="1"/>
  <c r="P945" i="1"/>
  <c r="P944" i="1"/>
  <c r="P943" i="1"/>
  <c r="P941" i="1"/>
  <c r="P939" i="1"/>
  <c r="P938" i="1"/>
  <c r="P937" i="1"/>
  <c r="P935" i="1"/>
  <c r="P934" i="1"/>
  <c r="P933" i="1"/>
  <c r="P932" i="1"/>
  <c r="P931" i="1"/>
  <c r="P930" i="1"/>
  <c r="P927" i="1"/>
  <c r="P926" i="1"/>
  <c r="P923" i="1"/>
  <c r="P922" i="1"/>
  <c r="P921" i="1"/>
  <c r="P919" i="1"/>
  <c r="P918" i="1"/>
  <c r="P917" i="1"/>
  <c r="P916" i="1"/>
  <c r="P915" i="1"/>
  <c r="P914" i="1"/>
  <c r="P911" i="1"/>
  <c r="P910" i="1"/>
  <c r="P909" i="1"/>
  <c r="P906" i="1"/>
  <c r="P903" i="1"/>
  <c r="P902" i="1"/>
  <c r="P898" i="1"/>
  <c r="P897" i="1"/>
  <c r="P895" i="1"/>
  <c r="P894" i="1"/>
  <c r="P890" i="1"/>
  <c r="P889" i="1"/>
  <c r="P888" i="1"/>
  <c r="P887" i="1"/>
  <c r="P886" i="1"/>
  <c r="P885" i="1"/>
  <c r="P884" i="1"/>
  <c r="P883" i="1"/>
  <c r="P880" i="1"/>
  <c r="P878" i="1"/>
  <c r="P877" i="1"/>
  <c r="P876" i="1"/>
  <c r="P875" i="1"/>
  <c r="P873" i="1"/>
  <c r="P872" i="1"/>
  <c r="P871" i="1"/>
  <c r="P870" i="1"/>
  <c r="P868" i="1"/>
  <c r="P867" i="1"/>
  <c r="P866" i="1"/>
  <c r="P865" i="1"/>
  <c r="P864" i="1"/>
  <c r="P863" i="1"/>
  <c r="P862" i="1"/>
  <c r="P861" i="1"/>
  <c r="P859" i="1"/>
  <c r="P858" i="1"/>
  <c r="P857" i="1"/>
  <c r="P854" i="1"/>
  <c r="P851" i="1"/>
  <c r="P849" i="1"/>
  <c r="P847" i="1"/>
  <c r="P846" i="1"/>
  <c r="P845" i="1"/>
  <c r="P843" i="1"/>
  <c r="P842" i="1"/>
  <c r="P841" i="1"/>
  <c r="P840" i="1"/>
  <c r="P838" i="1"/>
  <c r="P836" i="1"/>
  <c r="P834" i="1"/>
  <c r="P833" i="1"/>
  <c r="P832" i="1"/>
  <c r="P829" i="1"/>
  <c r="P828" i="1"/>
  <c r="P827" i="1"/>
  <c r="P826" i="1"/>
  <c r="P824" i="1"/>
  <c r="P823" i="1"/>
  <c r="P822" i="1"/>
  <c r="P821" i="1"/>
  <c r="P819" i="1"/>
  <c r="P818" i="1"/>
  <c r="P817" i="1"/>
  <c r="P816" i="1"/>
  <c r="P815" i="1"/>
  <c r="P814" i="1"/>
  <c r="P813" i="1"/>
  <c r="P812" i="1"/>
  <c r="P810" i="1"/>
  <c r="P808" i="1"/>
  <c r="P807" i="1"/>
  <c r="P806" i="1"/>
  <c r="P805" i="1"/>
  <c r="P802" i="1"/>
  <c r="P801" i="1"/>
  <c r="P800" i="1"/>
  <c r="P799" i="1"/>
  <c r="P797" i="1"/>
  <c r="P795" i="1"/>
  <c r="P794" i="1"/>
  <c r="P793" i="1"/>
  <c r="P792" i="1"/>
  <c r="P791" i="1"/>
  <c r="P789" i="1"/>
  <c r="P788" i="1"/>
  <c r="P787" i="1"/>
  <c r="P785" i="1"/>
  <c r="P782" i="1"/>
  <c r="P781" i="1"/>
  <c r="P780" i="1"/>
  <c r="P779" i="1"/>
  <c r="P778" i="1"/>
  <c r="P777" i="1"/>
  <c r="P776" i="1"/>
  <c r="P775" i="1"/>
  <c r="P774" i="1"/>
  <c r="P773" i="1"/>
  <c r="P772" i="1"/>
  <c r="P771" i="1"/>
  <c r="P769" i="1"/>
  <c r="P768" i="1"/>
  <c r="P767" i="1"/>
  <c r="P766" i="1"/>
  <c r="P765" i="1"/>
  <c r="P764" i="1"/>
  <c r="P763" i="1"/>
  <c r="P762" i="1"/>
  <c r="P761" i="1"/>
  <c r="P760" i="1"/>
  <c r="P759" i="1"/>
  <c r="P757" i="1"/>
  <c r="P756" i="1"/>
  <c r="P755" i="1"/>
  <c r="P754" i="1"/>
  <c r="P753" i="1"/>
  <c r="P752" i="1"/>
  <c r="P748" i="1"/>
  <c r="P746" i="1"/>
  <c r="P745" i="1"/>
  <c r="P743" i="1"/>
  <c r="P742" i="1"/>
  <c r="P741" i="1"/>
  <c r="P740" i="1"/>
  <c r="P739" i="1"/>
  <c r="P738" i="1"/>
  <c r="P737" i="1"/>
  <c r="P736" i="1"/>
  <c r="P735" i="1"/>
  <c r="P734" i="1"/>
  <c r="P733" i="1"/>
  <c r="P732" i="1"/>
  <c r="P731" i="1"/>
  <c r="P729" i="1"/>
  <c r="P728" i="1"/>
  <c r="P725" i="1"/>
  <c r="P722" i="1"/>
  <c r="P716" i="1"/>
  <c r="P713" i="1"/>
  <c r="P712" i="1"/>
  <c r="P708" i="1"/>
  <c r="P707" i="1"/>
  <c r="P706" i="1"/>
  <c r="P705" i="1"/>
  <c r="P702" i="1"/>
  <c r="P701" i="1"/>
  <c r="P700" i="1"/>
  <c r="P699" i="1"/>
  <c r="P698" i="1"/>
  <c r="P697" i="1"/>
  <c r="P696" i="1"/>
  <c r="P694" i="1"/>
  <c r="P693" i="1"/>
  <c r="P692" i="1"/>
  <c r="P690" i="1"/>
  <c r="P689" i="1"/>
  <c r="P688" i="1"/>
  <c r="P687" i="1"/>
  <c r="P685" i="1"/>
  <c r="P683" i="1"/>
  <c r="P682" i="1"/>
  <c r="P681" i="1"/>
  <c r="P679" i="1"/>
  <c r="P678" i="1"/>
  <c r="P677" i="1"/>
  <c r="P674" i="1"/>
  <c r="P673" i="1"/>
  <c r="P672" i="1"/>
  <c r="P671" i="1"/>
  <c r="P669" i="1"/>
  <c r="P667" i="1"/>
  <c r="P666" i="1"/>
  <c r="P665" i="1"/>
  <c r="P661" i="1"/>
  <c r="P660" i="1"/>
  <c r="P659" i="1"/>
  <c r="P658" i="1"/>
  <c r="P657" i="1"/>
  <c r="P656" i="1"/>
  <c r="P654" i="1"/>
  <c r="P650" i="1"/>
  <c r="P649" i="1"/>
  <c r="P648" i="1"/>
  <c r="P647" i="1"/>
  <c r="P646" i="1"/>
  <c r="P644" i="1"/>
  <c r="P643" i="1"/>
  <c r="P642" i="1"/>
  <c r="P641" i="1"/>
  <c r="P640" i="1"/>
  <c r="P639" i="1"/>
  <c r="P638" i="1"/>
  <c r="P637" i="1"/>
  <c r="P636" i="1"/>
  <c r="P632" i="1"/>
  <c r="P630" i="1"/>
  <c r="P629" i="1"/>
  <c r="P626" i="1"/>
  <c r="P625" i="1"/>
  <c r="P624" i="1"/>
  <c r="P622" i="1"/>
  <c r="P621" i="1"/>
  <c r="P620" i="1"/>
  <c r="P619" i="1"/>
  <c r="P618" i="1"/>
  <c r="P617" i="1"/>
  <c r="P616" i="1"/>
  <c r="P614" i="1"/>
  <c r="P612" i="1"/>
  <c r="P611" i="1"/>
  <c r="P610" i="1"/>
  <c r="P608" i="1"/>
  <c r="P607" i="1"/>
  <c r="P606" i="1"/>
  <c r="P604" i="1"/>
  <c r="P602" i="1"/>
  <c r="P601" i="1"/>
  <c r="P599" i="1"/>
  <c r="P598" i="1"/>
  <c r="P597" i="1"/>
  <c r="P594" i="1"/>
  <c r="P592" i="1"/>
  <c r="P590" i="1"/>
  <c r="P587" i="1"/>
  <c r="P586" i="1"/>
  <c r="P585" i="1"/>
  <c r="P583" i="1"/>
  <c r="P582" i="1"/>
  <c r="P580" i="1"/>
  <c r="P579" i="1"/>
  <c r="P578" i="1"/>
  <c r="P577" i="1"/>
  <c r="P576" i="1"/>
  <c r="P575" i="1"/>
  <c r="P574" i="1"/>
  <c r="P572" i="1"/>
  <c r="P571" i="1"/>
  <c r="P570" i="1"/>
  <c r="P569" i="1"/>
  <c r="P568" i="1"/>
  <c r="P567" i="1"/>
  <c r="P565" i="1"/>
  <c r="P564" i="1"/>
  <c r="P563" i="1"/>
  <c r="P562" i="1"/>
  <c r="P561" i="1"/>
  <c r="P560" i="1"/>
  <c r="P558" i="1"/>
  <c r="P556" i="1"/>
  <c r="P554" i="1"/>
  <c r="P553" i="1"/>
  <c r="P551" i="1"/>
  <c r="P550" i="1"/>
  <c r="P549" i="1"/>
  <c r="P548" i="1"/>
  <c r="P546" i="1"/>
  <c r="P545" i="1"/>
  <c r="P544" i="1"/>
  <c r="P543" i="1"/>
  <c r="P541" i="1"/>
  <c r="P540" i="1"/>
  <c r="P538" i="1"/>
  <c r="P537" i="1"/>
  <c r="P536" i="1"/>
  <c r="P535" i="1"/>
  <c r="P533" i="1"/>
  <c r="P531" i="1"/>
  <c r="P530" i="1"/>
  <c r="P528" i="1"/>
  <c r="P527" i="1"/>
  <c r="P526" i="1"/>
  <c r="P525" i="1"/>
  <c r="P524" i="1"/>
  <c r="P523" i="1"/>
  <c r="P521" i="1"/>
  <c r="P520" i="1"/>
  <c r="P519" i="1"/>
  <c r="P517" i="1"/>
  <c r="P514" i="1"/>
  <c r="P513" i="1"/>
  <c r="P512" i="1"/>
  <c r="P511" i="1"/>
  <c r="P510" i="1"/>
  <c r="P508" i="1"/>
  <c r="P507" i="1"/>
  <c r="P506" i="1"/>
  <c r="P505" i="1"/>
  <c r="P504" i="1"/>
  <c r="P503" i="1"/>
  <c r="P502" i="1"/>
  <c r="P501" i="1"/>
  <c r="P500" i="1"/>
  <c r="P499" i="1"/>
  <c r="P498" i="1"/>
  <c r="P497" i="1"/>
  <c r="P496" i="1"/>
  <c r="P495" i="1"/>
  <c r="P494" i="1"/>
  <c r="P492" i="1"/>
  <c r="P491" i="1"/>
  <c r="P490" i="1"/>
  <c r="P488" i="1"/>
  <c r="P486" i="1"/>
  <c r="P485" i="1"/>
  <c r="P484" i="1"/>
  <c r="P483" i="1"/>
  <c r="P480" i="1"/>
  <c r="P476" i="1"/>
  <c r="P473" i="1"/>
  <c r="P472" i="1"/>
  <c r="P470" i="1"/>
  <c r="P469" i="1"/>
  <c r="P465" i="1"/>
  <c r="P464" i="1"/>
  <c r="P463" i="1"/>
  <c r="P462" i="1"/>
  <c r="P461" i="1"/>
  <c r="P459" i="1"/>
  <c r="P457" i="1"/>
  <c r="P455" i="1"/>
  <c r="P453" i="1"/>
  <c r="P452" i="1"/>
  <c r="P451" i="1"/>
  <c r="P450" i="1"/>
  <c r="P449" i="1"/>
  <c r="P446" i="1"/>
  <c r="P443" i="1"/>
  <c r="P442" i="1"/>
  <c r="P441" i="1"/>
  <c r="P440" i="1"/>
  <c r="P439" i="1"/>
  <c r="P438" i="1"/>
  <c r="P437" i="1"/>
  <c r="P436" i="1"/>
  <c r="P435" i="1"/>
  <c r="P434" i="1"/>
  <c r="P432" i="1"/>
  <c r="P431" i="1"/>
  <c r="P430" i="1"/>
  <c r="P429" i="1"/>
  <c r="P428" i="1"/>
  <c r="P427" i="1"/>
  <c r="P424" i="1"/>
  <c r="P423" i="1"/>
  <c r="P422" i="1"/>
  <c r="P421" i="1"/>
  <c r="P420" i="1"/>
  <c r="P418" i="1"/>
  <c r="P417" i="1"/>
  <c r="P415" i="1"/>
  <c r="P413" i="1"/>
  <c r="P412" i="1"/>
  <c r="P411" i="1"/>
  <c r="P410" i="1"/>
  <c r="P409" i="1"/>
  <c r="P408" i="1"/>
  <c r="P407" i="1"/>
  <c r="P405" i="1"/>
  <c r="P404" i="1"/>
  <c r="P403" i="1"/>
  <c r="P402" i="1"/>
  <c r="P401" i="1"/>
  <c r="P400" i="1"/>
  <c r="P399" i="1"/>
  <c r="P398" i="1"/>
  <c r="P394" i="1"/>
  <c r="P393" i="1"/>
  <c r="P391" i="1"/>
  <c r="P390" i="1"/>
  <c r="P388" i="1"/>
  <c r="P387" i="1"/>
  <c r="P386" i="1"/>
  <c r="P385" i="1"/>
  <c r="P384" i="1"/>
  <c r="P383" i="1"/>
  <c r="P382" i="1"/>
  <c r="P380" i="1"/>
  <c r="P379" i="1"/>
  <c r="P377" i="1"/>
  <c r="P376" i="1"/>
  <c r="P374" i="1"/>
  <c r="P373" i="1"/>
  <c r="P372" i="1"/>
  <c r="P370" i="1"/>
  <c r="P367" i="1"/>
  <c r="P364" i="1"/>
  <c r="P363" i="1"/>
  <c r="P362" i="1"/>
  <c r="P361" i="1"/>
  <c r="P360" i="1"/>
  <c r="P359" i="1"/>
  <c r="P358" i="1"/>
  <c r="P356" i="1"/>
  <c r="P355" i="1"/>
  <c r="P354" i="1"/>
  <c r="P353" i="1"/>
  <c r="P352" i="1"/>
  <c r="P348" i="1"/>
  <c r="P347" i="1"/>
  <c r="P346" i="1"/>
  <c r="P345" i="1"/>
  <c r="P343" i="1"/>
  <c r="P340" i="1"/>
  <c r="P339" i="1"/>
  <c r="P338" i="1"/>
  <c r="P336" i="1"/>
  <c r="P334" i="1"/>
  <c r="P333" i="1"/>
  <c r="P332" i="1"/>
  <c r="P331" i="1"/>
  <c r="P330" i="1"/>
  <c r="P327" i="1"/>
  <c r="P326" i="1"/>
  <c r="P325" i="1"/>
  <c r="P324" i="1"/>
  <c r="P321" i="1"/>
  <c r="P319" i="1"/>
  <c r="P317" i="1"/>
  <c r="P316" i="1"/>
  <c r="P315" i="1"/>
  <c r="P314" i="1"/>
  <c r="P311" i="1"/>
  <c r="P310" i="1"/>
  <c r="P309" i="1"/>
  <c r="P308" i="1"/>
  <c r="P307" i="1"/>
  <c r="P305" i="1"/>
  <c r="P304" i="1"/>
  <c r="P303" i="1"/>
  <c r="P302" i="1"/>
  <c r="P301" i="1"/>
  <c r="P300" i="1"/>
  <c r="P299" i="1"/>
  <c r="P298" i="1"/>
  <c r="P297" i="1"/>
  <c r="P296" i="1"/>
  <c r="P294" i="1"/>
  <c r="P293" i="1"/>
  <c r="P292" i="1"/>
  <c r="P290" i="1"/>
  <c r="P289" i="1"/>
  <c r="P288" i="1"/>
  <c r="P285" i="1"/>
  <c r="P284" i="1"/>
  <c r="P283" i="1"/>
  <c r="P282" i="1"/>
  <c r="P281" i="1"/>
  <c r="P279" i="1"/>
  <c r="P278" i="1"/>
  <c r="P277" i="1"/>
  <c r="P276" i="1"/>
  <c r="P275" i="1"/>
  <c r="P274" i="1"/>
  <c r="P273" i="1"/>
  <c r="P272" i="1"/>
  <c r="P270" i="1"/>
  <c r="P268" i="1"/>
  <c r="P267" i="1"/>
  <c r="P266" i="1"/>
  <c r="P265" i="1"/>
  <c r="P264" i="1"/>
  <c r="P263" i="1"/>
  <c r="P262" i="1"/>
  <c r="P259" i="1"/>
  <c r="P258" i="1"/>
  <c r="P257" i="1"/>
  <c r="P256" i="1"/>
  <c r="P254" i="1"/>
  <c r="P252" i="1"/>
  <c r="P250" i="1"/>
  <c r="P246" i="1"/>
  <c r="P245" i="1"/>
  <c r="P244" i="1"/>
  <c r="P243" i="1"/>
  <c r="P240" i="1"/>
  <c r="P239" i="1"/>
  <c r="P238" i="1"/>
  <c r="P234" i="1"/>
  <c r="P233" i="1"/>
  <c r="P230" i="1"/>
  <c r="P229" i="1"/>
  <c r="P228" i="1"/>
  <c r="P226" i="1"/>
  <c r="P225" i="1"/>
  <c r="P224" i="1"/>
  <c r="P223" i="1"/>
  <c r="P220" i="1"/>
  <c r="P219" i="1"/>
  <c r="P218" i="1"/>
  <c r="P217" i="1"/>
  <c r="P216" i="1"/>
  <c r="P215" i="1"/>
  <c r="P214" i="1"/>
  <c r="P213" i="1"/>
  <c r="P211" i="1"/>
  <c r="P209" i="1"/>
  <c r="P208" i="1"/>
  <c r="P207" i="1"/>
  <c r="P205" i="1"/>
  <c r="P204" i="1"/>
  <c r="P203" i="1"/>
  <c r="P201" i="1"/>
  <c r="P200" i="1"/>
  <c r="P199" i="1"/>
  <c r="P197" i="1"/>
  <c r="P196" i="1"/>
  <c r="P195" i="1"/>
  <c r="P194" i="1"/>
  <c r="P193" i="1"/>
  <c r="P192" i="1"/>
  <c r="P190" i="1"/>
  <c r="P189" i="1"/>
  <c r="P187" i="1"/>
  <c r="P186" i="1"/>
  <c r="P185" i="1"/>
  <c r="P184" i="1"/>
  <c r="P183" i="1"/>
  <c r="P182" i="1"/>
  <c r="P181" i="1"/>
  <c r="P180" i="1"/>
  <c r="P179" i="1"/>
  <c r="P178" i="1"/>
  <c r="P177" i="1"/>
  <c r="P176" i="1"/>
  <c r="P175" i="1"/>
  <c r="P173" i="1"/>
  <c r="P172" i="1"/>
  <c r="P171" i="1"/>
  <c r="P169" i="1"/>
  <c r="P168" i="1"/>
  <c r="P167" i="1"/>
  <c r="P166" i="1"/>
  <c r="P165" i="1"/>
  <c r="P163" i="1"/>
  <c r="P162" i="1"/>
  <c r="P161" i="1"/>
  <c r="P160" i="1"/>
  <c r="P159" i="1"/>
  <c r="P156" i="1"/>
  <c r="P155" i="1"/>
  <c r="P153" i="1"/>
  <c r="P150" i="1"/>
  <c r="P149" i="1"/>
  <c r="P148" i="1"/>
  <c r="P147" i="1"/>
  <c r="P145" i="1"/>
  <c r="P144" i="1"/>
  <c r="P143" i="1"/>
  <c r="P142" i="1"/>
  <c r="P141" i="1"/>
  <c r="P138" i="1"/>
  <c r="P137" i="1"/>
  <c r="P136" i="1"/>
  <c r="P135" i="1"/>
  <c r="P134" i="1"/>
  <c r="P133" i="1"/>
  <c r="P131" i="1"/>
  <c r="P130" i="1"/>
  <c r="P129" i="1"/>
  <c r="P128" i="1"/>
  <c r="P127" i="1"/>
  <c r="P126" i="1"/>
  <c r="P124" i="1"/>
  <c r="P121" i="1"/>
  <c r="P119" i="1"/>
  <c r="P118" i="1"/>
  <c r="P117" i="1"/>
  <c r="P114" i="1"/>
  <c r="P112" i="1"/>
  <c r="P110" i="1"/>
  <c r="P109" i="1"/>
  <c r="P107" i="1"/>
  <c r="P106" i="1"/>
  <c r="P105" i="1"/>
  <c r="P104" i="1"/>
  <c r="P102" i="1"/>
  <c r="P101" i="1"/>
  <c r="P100" i="1"/>
  <c r="P98" i="1"/>
  <c r="P97" i="1"/>
  <c r="P96" i="1"/>
  <c r="P95" i="1"/>
  <c r="P94" i="1"/>
  <c r="P93" i="1"/>
  <c r="P92" i="1"/>
  <c r="P91" i="1"/>
  <c r="P89" i="1"/>
  <c r="P87" i="1"/>
  <c r="P85" i="1"/>
  <c r="P84" i="1"/>
  <c r="P82" i="1"/>
  <c r="P80" i="1"/>
  <c r="P77" i="1"/>
  <c r="P74" i="1"/>
  <c r="P72" i="1"/>
  <c r="P71" i="1"/>
  <c r="P68" i="1"/>
  <c r="P66" i="1"/>
  <c r="P65" i="1"/>
  <c r="P64" i="1"/>
  <c r="P61" i="1"/>
  <c r="P60" i="1"/>
  <c r="P59" i="1"/>
  <c r="P58" i="1"/>
  <c r="P57" i="1"/>
  <c r="P56" i="1"/>
  <c r="P55" i="1"/>
  <c r="P54" i="1"/>
  <c r="P52" i="1"/>
  <c r="P51" i="1"/>
  <c r="P49" i="1"/>
  <c r="P48" i="1"/>
  <c r="P47" i="1"/>
  <c r="P46" i="1"/>
  <c r="P45" i="1"/>
  <c r="P43" i="1"/>
  <c r="P41" i="1"/>
  <c r="P39" i="1"/>
  <c r="P38" i="1"/>
  <c r="P36" i="1"/>
  <c r="P34" i="1"/>
  <c r="P33" i="1"/>
  <c r="P30" i="1"/>
  <c r="P29" i="1"/>
  <c r="P28" i="1"/>
  <c r="P27" i="1"/>
  <c r="P25" i="1"/>
  <c r="P23" i="1"/>
  <c r="P22" i="1"/>
  <c r="P21" i="1"/>
  <c r="P20" i="1"/>
  <c r="P19" i="1"/>
  <c r="P18" i="1"/>
  <c r="P17" i="1"/>
  <c r="P16" i="1"/>
  <c r="P15" i="1"/>
  <c r="P14" i="1"/>
  <c r="P13" i="1"/>
  <c r="P12" i="1"/>
  <c r="P10" i="1"/>
  <c r="P9" i="1"/>
  <c r="P8" i="1"/>
  <c r="P6" i="1"/>
  <c r="P5" i="1"/>
  <c r="P4" i="1"/>
  <c r="P3"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3" i="1"/>
  <c r="J4" i="1"/>
  <c r="J5" i="1"/>
  <c r="J6" i="1"/>
  <c r="J7" i="1"/>
  <c r="J8" i="1"/>
  <c r="J2"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37" i="1"/>
  <c r="C38" i="1"/>
  <c r="C39" i="1"/>
  <c r="C40" i="1"/>
  <c r="C41" i="1"/>
  <c r="C42" i="1"/>
  <c r="C4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BCD848-D4EE-48E6-8FD5-70739237EF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718961E-651E-4CE6-B0E5-B668A7A8E89A}" name="WorksheetConnection_Sheet1!$A:$O" type="102" refreshedVersion="8" minRefreshableVersion="5">
    <extLst>
      <ext xmlns:x15="http://schemas.microsoft.com/office/spreadsheetml/2010/11/main" uri="{DE250136-89BD-433C-8126-D09CA5730AF9}">
        <x15:connection id="Range" autoDelete="1">
          <x15:rangePr sourceName="_xlcn.WorksheetConnection_Sheet1AO"/>
        </x15:connection>
      </ext>
    </extLst>
  </connection>
</connections>
</file>

<file path=xl/sharedStrings.xml><?xml version="1.0" encoding="utf-8"?>
<sst xmlns="http://schemas.openxmlformats.org/spreadsheetml/2006/main" count="6211" uniqueCount="1082">
  <si>
    <t>freelancer_ID</t>
  </si>
  <si>
    <t>age</t>
  </si>
  <si>
    <t>language</t>
  </si>
  <si>
    <t>primary_skill</t>
  </si>
  <si>
    <t>years_of_experience</t>
  </si>
  <si>
    <t>FL250001</t>
  </si>
  <si>
    <t>Italy</t>
  </si>
  <si>
    <t>Italian</t>
  </si>
  <si>
    <t>Blockchain Development</t>
  </si>
  <si>
    <t>FL250002</t>
  </si>
  <si>
    <t>Australia</t>
  </si>
  <si>
    <t>English</t>
  </si>
  <si>
    <t>Mobile Apps</t>
  </si>
  <si>
    <t>FL250003</t>
  </si>
  <si>
    <t>Germany</t>
  </si>
  <si>
    <t>German</t>
  </si>
  <si>
    <t>Graphic Design</t>
  </si>
  <si>
    <t>FL250004</t>
  </si>
  <si>
    <t>Web Development</t>
  </si>
  <si>
    <t>FL250005</t>
  </si>
  <si>
    <t>FL250006</t>
  </si>
  <si>
    <t>Netherlands</t>
  </si>
  <si>
    <t>Dutch</t>
  </si>
  <si>
    <t>AI</t>
  </si>
  <si>
    <t>FL250007</t>
  </si>
  <si>
    <t>Indonesia</t>
  </si>
  <si>
    <t>Indonesian</t>
  </si>
  <si>
    <t>Data Analysis</t>
  </si>
  <si>
    <t>FL250008</t>
  </si>
  <si>
    <t>FL250009</t>
  </si>
  <si>
    <t>United States</t>
  </si>
  <si>
    <t>FL250010</t>
  </si>
  <si>
    <t>Turkey</t>
  </si>
  <si>
    <t>Turkish</t>
  </si>
  <si>
    <t>FL250011</t>
  </si>
  <si>
    <t>United Kingdom</t>
  </si>
  <si>
    <t>FL250012</t>
  </si>
  <si>
    <t>Argentina</t>
  </si>
  <si>
    <t>Spanish</t>
  </si>
  <si>
    <t>UI/UX Design</t>
  </si>
  <si>
    <t>FL250013</t>
  </si>
  <si>
    <t>Cybersecurity</t>
  </si>
  <si>
    <t>FL250014</t>
  </si>
  <si>
    <t>FL250015</t>
  </si>
  <si>
    <t>FL250016</t>
  </si>
  <si>
    <t>Japan</t>
  </si>
  <si>
    <t>Japanese</t>
  </si>
  <si>
    <t>FL250017</t>
  </si>
  <si>
    <t>DevOps</t>
  </si>
  <si>
    <t>FL250018</t>
  </si>
  <si>
    <t>India</t>
  </si>
  <si>
    <t>Hindi</t>
  </si>
  <si>
    <t>FL250019</t>
  </si>
  <si>
    <t>FL250020</t>
  </si>
  <si>
    <t>FL250021</t>
  </si>
  <si>
    <t>FL250022</t>
  </si>
  <si>
    <t>FL250023</t>
  </si>
  <si>
    <t>Brazil</t>
  </si>
  <si>
    <t>Portuguese</t>
  </si>
  <si>
    <t>FL250024</t>
  </si>
  <si>
    <t>South Korea</t>
  </si>
  <si>
    <t>Korean</t>
  </si>
  <si>
    <t>Machine Learning</t>
  </si>
  <si>
    <t>FL250025</t>
  </si>
  <si>
    <t>FL250026</t>
  </si>
  <si>
    <t>FL250027</t>
  </si>
  <si>
    <t>FL250028</t>
  </si>
  <si>
    <t>Russia</t>
  </si>
  <si>
    <t>Russian</t>
  </si>
  <si>
    <t>FL250029</t>
  </si>
  <si>
    <t>Canada</t>
  </si>
  <si>
    <t>FL250030</t>
  </si>
  <si>
    <t>FL250031</t>
  </si>
  <si>
    <t>FL250032</t>
  </si>
  <si>
    <t>France</t>
  </si>
  <si>
    <t>French</t>
  </si>
  <si>
    <t>FL250033</t>
  </si>
  <si>
    <t>Egypt</t>
  </si>
  <si>
    <t>Arabic</t>
  </si>
  <si>
    <t>FL250034</t>
  </si>
  <si>
    <t>FL250035</t>
  </si>
  <si>
    <t>FL250036</t>
  </si>
  <si>
    <t>FL250037</t>
  </si>
  <si>
    <t>FL250038</t>
  </si>
  <si>
    <t>FL250039</t>
  </si>
  <si>
    <t>South Africa</t>
  </si>
  <si>
    <t>Afrikaans</t>
  </si>
  <si>
    <t>FL250040</t>
  </si>
  <si>
    <t>FL250041</t>
  </si>
  <si>
    <t>FL250042</t>
  </si>
  <si>
    <t>FL250043</t>
  </si>
  <si>
    <t>FL250044</t>
  </si>
  <si>
    <t>FL250045</t>
  </si>
  <si>
    <t>FL250046</t>
  </si>
  <si>
    <t>FL250047</t>
  </si>
  <si>
    <t>FL250048</t>
  </si>
  <si>
    <t>China</t>
  </si>
  <si>
    <t>Mandarin</t>
  </si>
  <si>
    <t>FL250049</t>
  </si>
  <si>
    <t>Mexico</t>
  </si>
  <si>
    <t>FL250050</t>
  </si>
  <si>
    <t>FL250051</t>
  </si>
  <si>
    <t>FL250052</t>
  </si>
  <si>
    <t>FL250053</t>
  </si>
  <si>
    <t>FL250054</t>
  </si>
  <si>
    <t>Spain</t>
  </si>
  <si>
    <t>FL250055</t>
  </si>
  <si>
    <t>FL250056</t>
  </si>
  <si>
    <t>FL250057</t>
  </si>
  <si>
    <t>FL250058</t>
  </si>
  <si>
    <t>FL250059</t>
  </si>
  <si>
    <t>FL250060</t>
  </si>
  <si>
    <t>FL250061</t>
  </si>
  <si>
    <t>FL250062</t>
  </si>
  <si>
    <t>FL250063</t>
  </si>
  <si>
    <t>FL250064</t>
  </si>
  <si>
    <t>FL250065</t>
  </si>
  <si>
    <t>FL250066</t>
  </si>
  <si>
    <t>FL250067</t>
  </si>
  <si>
    <t>FL250068</t>
  </si>
  <si>
    <t>FL250069</t>
  </si>
  <si>
    <t>FL250070</t>
  </si>
  <si>
    <t>FL250071</t>
  </si>
  <si>
    <t>FL250072</t>
  </si>
  <si>
    <t>FL250073</t>
  </si>
  <si>
    <t>FL250074</t>
  </si>
  <si>
    <t>FL250075</t>
  </si>
  <si>
    <t>FL250076</t>
  </si>
  <si>
    <t>FL250077</t>
  </si>
  <si>
    <t>FL250078</t>
  </si>
  <si>
    <t>FL250079</t>
  </si>
  <si>
    <t>FL250080</t>
  </si>
  <si>
    <t>FL250081</t>
  </si>
  <si>
    <t>FL250082</t>
  </si>
  <si>
    <t>FL250083</t>
  </si>
  <si>
    <t>FL250084</t>
  </si>
  <si>
    <t>FL250085</t>
  </si>
  <si>
    <t>FL250086</t>
  </si>
  <si>
    <t>FL250087</t>
  </si>
  <si>
    <t>FL250088</t>
  </si>
  <si>
    <t>FL250089</t>
  </si>
  <si>
    <t>FL250090</t>
  </si>
  <si>
    <t>FL250091</t>
  </si>
  <si>
    <t>FL250092</t>
  </si>
  <si>
    <t>FL250093</t>
  </si>
  <si>
    <t>FL250094</t>
  </si>
  <si>
    <t>FL250095</t>
  </si>
  <si>
    <t>FL250096</t>
  </si>
  <si>
    <t>FL250097</t>
  </si>
  <si>
    <t>FL250098</t>
  </si>
  <si>
    <t>FL250099</t>
  </si>
  <si>
    <t>FL250100</t>
  </si>
  <si>
    <t>FL250101</t>
  </si>
  <si>
    <t>FL250102</t>
  </si>
  <si>
    <t>FL250103</t>
  </si>
  <si>
    <t>FL250104</t>
  </si>
  <si>
    <t>FL250105</t>
  </si>
  <si>
    <t>FL250106</t>
  </si>
  <si>
    <t>FL250107</t>
  </si>
  <si>
    <t>FL250108</t>
  </si>
  <si>
    <t>FL250109</t>
  </si>
  <si>
    <t>FL250110</t>
  </si>
  <si>
    <t>FL250111</t>
  </si>
  <si>
    <t>FL250112</t>
  </si>
  <si>
    <t>FL250113</t>
  </si>
  <si>
    <t>FL250114</t>
  </si>
  <si>
    <t>FL250115</t>
  </si>
  <si>
    <t>FL250116</t>
  </si>
  <si>
    <t>FL250117</t>
  </si>
  <si>
    <t>FL250118</t>
  </si>
  <si>
    <t>FL250119</t>
  </si>
  <si>
    <t>FL250120</t>
  </si>
  <si>
    <t>FL250121</t>
  </si>
  <si>
    <t>FL250122</t>
  </si>
  <si>
    <t>FL250123</t>
  </si>
  <si>
    <t>FL250124</t>
  </si>
  <si>
    <t>FL250125</t>
  </si>
  <si>
    <t>FL250126</t>
  </si>
  <si>
    <t>FL250127</t>
  </si>
  <si>
    <t>FL250128</t>
  </si>
  <si>
    <t>FL250129</t>
  </si>
  <si>
    <t>FL250130</t>
  </si>
  <si>
    <t>FL250131</t>
  </si>
  <si>
    <t>FL250132</t>
  </si>
  <si>
    <t>FL250133</t>
  </si>
  <si>
    <t>FL250134</t>
  </si>
  <si>
    <t>FL250135</t>
  </si>
  <si>
    <t>FL250136</t>
  </si>
  <si>
    <t>FL250137</t>
  </si>
  <si>
    <t>FL250138</t>
  </si>
  <si>
    <t>FL250139</t>
  </si>
  <si>
    <t>FL250140</t>
  </si>
  <si>
    <t>FL250141</t>
  </si>
  <si>
    <t>FL250142</t>
  </si>
  <si>
    <t>FL250143</t>
  </si>
  <si>
    <t>FL250144</t>
  </si>
  <si>
    <t>FL250145</t>
  </si>
  <si>
    <t>FL250146</t>
  </si>
  <si>
    <t>FL250147</t>
  </si>
  <si>
    <t>FL250148</t>
  </si>
  <si>
    <t>FL250149</t>
  </si>
  <si>
    <t>FL250150</t>
  </si>
  <si>
    <t>FL250151</t>
  </si>
  <si>
    <t>FL250152</t>
  </si>
  <si>
    <t>FL250153</t>
  </si>
  <si>
    <t>FL250154</t>
  </si>
  <si>
    <t>FL250155</t>
  </si>
  <si>
    <t>FL250156</t>
  </si>
  <si>
    <t>FL250157</t>
  </si>
  <si>
    <t>FL250158</t>
  </si>
  <si>
    <t>FL250159</t>
  </si>
  <si>
    <t>FL250160</t>
  </si>
  <si>
    <t>FL250161</t>
  </si>
  <si>
    <t>FL250162</t>
  </si>
  <si>
    <t>FL250163</t>
  </si>
  <si>
    <t>FL250164</t>
  </si>
  <si>
    <t>FL250165</t>
  </si>
  <si>
    <t>FL250166</t>
  </si>
  <si>
    <t>FL250167</t>
  </si>
  <si>
    <t>FL250168</t>
  </si>
  <si>
    <t>FL250169</t>
  </si>
  <si>
    <t>FL250170</t>
  </si>
  <si>
    <t>FL250171</t>
  </si>
  <si>
    <t>FL250172</t>
  </si>
  <si>
    <t>FL250173</t>
  </si>
  <si>
    <t>FL250174</t>
  </si>
  <si>
    <t>FL250175</t>
  </si>
  <si>
    <t>FL250176</t>
  </si>
  <si>
    <t>FL250177</t>
  </si>
  <si>
    <t>FL250178</t>
  </si>
  <si>
    <t>FL250179</t>
  </si>
  <si>
    <t>FL250180</t>
  </si>
  <si>
    <t>FL250181</t>
  </si>
  <si>
    <t>FL250182</t>
  </si>
  <si>
    <t>FL250183</t>
  </si>
  <si>
    <t>FL250184</t>
  </si>
  <si>
    <t>FL250185</t>
  </si>
  <si>
    <t>FL250186</t>
  </si>
  <si>
    <t>FL250187</t>
  </si>
  <si>
    <t>FL250188</t>
  </si>
  <si>
    <t>FL250189</t>
  </si>
  <si>
    <t>FL250190</t>
  </si>
  <si>
    <t>FL250191</t>
  </si>
  <si>
    <t>FL250192</t>
  </si>
  <si>
    <t>FL250193</t>
  </si>
  <si>
    <t>FL250194</t>
  </si>
  <si>
    <t>FL250195</t>
  </si>
  <si>
    <t>FL250196</t>
  </si>
  <si>
    <t>FL250197</t>
  </si>
  <si>
    <t>FL250198</t>
  </si>
  <si>
    <t>FL250199</t>
  </si>
  <si>
    <t>FL250200</t>
  </si>
  <si>
    <t>FL250201</t>
  </si>
  <si>
    <t>FL250202</t>
  </si>
  <si>
    <t>FL250203</t>
  </si>
  <si>
    <t>FL250204</t>
  </si>
  <si>
    <t>FL250205</t>
  </si>
  <si>
    <t>FL250206</t>
  </si>
  <si>
    <t>FL250207</t>
  </si>
  <si>
    <t>FL250208</t>
  </si>
  <si>
    <t>FL250209</t>
  </si>
  <si>
    <t>FL250210</t>
  </si>
  <si>
    <t>FL250211</t>
  </si>
  <si>
    <t>FL250212</t>
  </si>
  <si>
    <t>FL250213</t>
  </si>
  <si>
    <t>FL250214</t>
  </si>
  <si>
    <t>FL250215</t>
  </si>
  <si>
    <t>FL250216</t>
  </si>
  <si>
    <t>FL250217</t>
  </si>
  <si>
    <t>FL250218</t>
  </si>
  <si>
    <t>FL250219</t>
  </si>
  <si>
    <t>FL250220</t>
  </si>
  <si>
    <t>FL250221</t>
  </si>
  <si>
    <t>FL250222</t>
  </si>
  <si>
    <t>FL250223</t>
  </si>
  <si>
    <t>FL250224</t>
  </si>
  <si>
    <t>FL250225</t>
  </si>
  <si>
    <t>FL250226</t>
  </si>
  <si>
    <t>FL250227</t>
  </si>
  <si>
    <t>FL250228</t>
  </si>
  <si>
    <t>FL250229</t>
  </si>
  <si>
    <t>FL250230</t>
  </si>
  <si>
    <t>FL250231</t>
  </si>
  <si>
    <t>FL250232</t>
  </si>
  <si>
    <t>FL250233</t>
  </si>
  <si>
    <t>FL250234</t>
  </si>
  <si>
    <t>FL250235</t>
  </si>
  <si>
    <t>FL250236</t>
  </si>
  <si>
    <t>FL250237</t>
  </si>
  <si>
    <t>FL250238</t>
  </si>
  <si>
    <t>FL250239</t>
  </si>
  <si>
    <t>FL250240</t>
  </si>
  <si>
    <t>FL250241</t>
  </si>
  <si>
    <t>FL250242</t>
  </si>
  <si>
    <t>FL250243</t>
  </si>
  <si>
    <t>FL250244</t>
  </si>
  <si>
    <t>FL250245</t>
  </si>
  <si>
    <t>FL250246</t>
  </si>
  <si>
    <t>FL250247</t>
  </si>
  <si>
    <t>FL250248</t>
  </si>
  <si>
    <t>FL250249</t>
  </si>
  <si>
    <t>FL250250</t>
  </si>
  <si>
    <t>FL250251</t>
  </si>
  <si>
    <t>FL250252</t>
  </si>
  <si>
    <t>FL250253</t>
  </si>
  <si>
    <t>FL250254</t>
  </si>
  <si>
    <t>FL250255</t>
  </si>
  <si>
    <t>FL250256</t>
  </si>
  <si>
    <t>FL250257</t>
  </si>
  <si>
    <t>FL250258</t>
  </si>
  <si>
    <t>FL250259</t>
  </si>
  <si>
    <t>FL250260</t>
  </si>
  <si>
    <t>FL250261</t>
  </si>
  <si>
    <t>FL250262</t>
  </si>
  <si>
    <t>FL250263</t>
  </si>
  <si>
    <t>FL250264</t>
  </si>
  <si>
    <t>FL250265</t>
  </si>
  <si>
    <t>FL250266</t>
  </si>
  <si>
    <t>FL250267</t>
  </si>
  <si>
    <t>FL250268</t>
  </si>
  <si>
    <t>FL250269</t>
  </si>
  <si>
    <t>FL250270</t>
  </si>
  <si>
    <t>FL250271</t>
  </si>
  <si>
    <t>FL250272</t>
  </si>
  <si>
    <t>FL250273</t>
  </si>
  <si>
    <t>FL250274</t>
  </si>
  <si>
    <t>FL250275</t>
  </si>
  <si>
    <t>FL250276</t>
  </si>
  <si>
    <t>FL250277</t>
  </si>
  <si>
    <t>FL250278</t>
  </si>
  <si>
    <t>FL250279</t>
  </si>
  <si>
    <t>FL250280</t>
  </si>
  <si>
    <t>FL250281</t>
  </si>
  <si>
    <t>FL250282</t>
  </si>
  <si>
    <t>FL250283</t>
  </si>
  <si>
    <t>FL250284</t>
  </si>
  <si>
    <t>FL250285</t>
  </si>
  <si>
    <t>FL250286</t>
  </si>
  <si>
    <t>FL250287</t>
  </si>
  <si>
    <t>FL250288</t>
  </si>
  <si>
    <t>FL250289</t>
  </si>
  <si>
    <t>FL250290</t>
  </si>
  <si>
    <t>FL250291</t>
  </si>
  <si>
    <t>FL250292</t>
  </si>
  <si>
    <t>FL250293</t>
  </si>
  <si>
    <t>FL250294</t>
  </si>
  <si>
    <t>FL250295</t>
  </si>
  <si>
    <t>FL250296</t>
  </si>
  <si>
    <t>FL250297</t>
  </si>
  <si>
    <t>FL250298</t>
  </si>
  <si>
    <t>FL250299</t>
  </si>
  <si>
    <t>FL250300</t>
  </si>
  <si>
    <t>FL250301</t>
  </si>
  <si>
    <t>FL250302</t>
  </si>
  <si>
    <t>FL250303</t>
  </si>
  <si>
    <t>FL250304</t>
  </si>
  <si>
    <t>FL250305</t>
  </si>
  <si>
    <t>FL250306</t>
  </si>
  <si>
    <t>FL250307</t>
  </si>
  <si>
    <t>FL250308</t>
  </si>
  <si>
    <t>FL250309</t>
  </si>
  <si>
    <t>FL250310</t>
  </si>
  <si>
    <t>FL250311</t>
  </si>
  <si>
    <t>FL250312</t>
  </si>
  <si>
    <t>FL250313</t>
  </si>
  <si>
    <t>FL250314</t>
  </si>
  <si>
    <t>FL250315</t>
  </si>
  <si>
    <t>FL250316</t>
  </si>
  <si>
    <t>FL250317</t>
  </si>
  <si>
    <t>FL250318</t>
  </si>
  <si>
    <t>FL250319</t>
  </si>
  <si>
    <t>FL250320</t>
  </si>
  <si>
    <t>FL250321</t>
  </si>
  <si>
    <t>FL250322</t>
  </si>
  <si>
    <t>FL250323</t>
  </si>
  <si>
    <t>FL250324</t>
  </si>
  <si>
    <t>FL250325</t>
  </si>
  <si>
    <t>FL250326</t>
  </si>
  <si>
    <t>FL250327</t>
  </si>
  <si>
    <t>FL250328</t>
  </si>
  <si>
    <t>FL250329</t>
  </si>
  <si>
    <t>FL250330</t>
  </si>
  <si>
    <t>FL250331</t>
  </si>
  <si>
    <t>FL250332</t>
  </si>
  <si>
    <t>FL250333</t>
  </si>
  <si>
    <t>FL250334</t>
  </si>
  <si>
    <t>FL250335</t>
  </si>
  <si>
    <t>FL250336</t>
  </si>
  <si>
    <t>FL250337</t>
  </si>
  <si>
    <t>FL250338</t>
  </si>
  <si>
    <t>FL250339</t>
  </si>
  <si>
    <t>FL250340</t>
  </si>
  <si>
    <t>FL250341</t>
  </si>
  <si>
    <t>FL250342</t>
  </si>
  <si>
    <t>FL250343</t>
  </si>
  <si>
    <t>FL250344</t>
  </si>
  <si>
    <t>FL250345</t>
  </si>
  <si>
    <t>FL250346</t>
  </si>
  <si>
    <t>FL250347</t>
  </si>
  <si>
    <t>FL250348</t>
  </si>
  <si>
    <t>FL250349</t>
  </si>
  <si>
    <t>FL250350</t>
  </si>
  <si>
    <t>FL250351</t>
  </si>
  <si>
    <t>FL250352</t>
  </si>
  <si>
    <t>FL250353</t>
  </si>
  <si>
    <t>FL250354</t>
  </si>
  <si>
    <t>FL250355</t>
  </si>
  <si>
    <t>FL250356</t>
  </si>
  <si>
    <t>FL250357</t>
  </si>
  <si>
    <t>FL250358</t>
  </si>
  <si>
    <t>FL250359</t>
  </si>
  <si>
    <t>FL250360</t>
  </si>
  <si>
    <t>FL250361</t>
  </si>
  <si>
    <t>FL250362</t>
  </si>
  <si>
    <t>FL250363</t>
  </si>
  <si>
    <t>FL250364</t>
  </si>
  <si>
    <t>FL250365</t>
  </si>
  <si>
    <t>FL250366</t>
  </si>
  <si>
    <t>FL250367</t>
  </si>
  <si>
    <t>FL250368</t>
  </si>
  <si>
    <t>FL250369</t>
  </si>
  <si>
    <t>FL250370</t>
  </si>
  <si>
    <t>FL250371</t>
  </si>
  <si>
    <t>FL250372</t>
  </si>
  <si>
    <t>FL250373</t>
  </si>
  <si>
    <t>FL250374</t>
  </si>
  <si>
    <t>FL250375</t>
  </si>
  <si>
    <t>FL250376</t>
  </si>
  <si>
    <t>FL250377</t>
  </si>
  <si>
    <t>FL250378</t>
  </si>
  <si>
    <t>FL250379</t>
  </si>
  <si>
    <t>FL250380</t>
  </si>
  <si>
    <t>FL250381</t>
  </si>
  <si>
    <t>FL250382</t>
  </si>
  <si>
    <t>FL250383</t>
  </si>
  <si>
    <t>FL250384</t>
  </si>
  <si>
    <t>FL250385</t>
  </si>
  <si>
    <t>FL250386</t>
  </si>
  <si>
    <t>FL250387</t>
  </si>
  <si>
    <t>FL250388</t>
  </si>
  <si>
    <t>FL250389</t>
  </si>
  <si>
    <t>FL250390</t>
  </si>
  <si>
    <t>FL250391</t>
  </si>
  <si>
    <t>FL250392</t>
  </si>
  <si>
    <t>FL250393</t>
  </si>
  <si>
    <t>FL250394</t>
  </si>
  <si>
    <t>FL250395</t>
  </si>
  <si>
    <t>FL250396</t>
  </si>
  <si>
    <t>FL250397</t>
  </si>
  <si>
    <t>FL250398</t>
  </si>
  <si>
    <t>FL250399</t>
  </si>
  <si>
    <t>FL250400</t>
  </si>
  <si>
    <t>FL250401</t>
  </si>
  <si>
    <t>FL250402</t>
  </si>
  <si>
    <t>FL250403</t>
  </si>
  <si>
    <t>FL250404</t>
  </si>
  <si>
    <t>FL250405</t>
  </si>
  <si>
    <t>FL250406</t>
  </si>
  <si>
    <t>FL250407</t>
  </si>
  <si>
    <t>FL250408</t>
  </si>
  <si>
    <t>FL250409</t>
  </si>
  <si>
    <t>FL250410</t>
  </si>
  <si>
    <t>FL250411</t>
  </si>
  <si>
    <t>FL250412</t>
  </si>
  <si>
    <t>FL250413</t>
  </si>
  <si>
    <t>FL250414</t>
  </si>
  <si>
    <t>FL250415</t>
  </si>
  <si>
    <t>FL250416</t>
  </si>
  <si>
    <t>FL250417</t>
  </si>
  <si>
    <t>FL250418</t>
  </si>
  <si>
    <t>FL250419</t>
  </si>
  <si>
    <t>FL250420</t>
  </si>
  <si>
    <t>FL250421</t>
  </si>
  <si>
    <t>FL250422</t>
  </si>
  <si>
    <t>FL250423</t>
  </si>
  <si>
    <t>FL250424</t>
  </si>
  <si>
    <t>FL250425</t>
  </si>
  <si>
    <t>FL250426</t>
  </si>
  <si>
    <t>FL250427</t>
  </si>
  <si>
    <t>FL250428</t>
  </si>
  <si>
    <t>FL250429</t>
  </si>
  <si>
    <t>FL250430</t>
  </si>
  <si>
    <t>FL250431</t>
  </si>
  <si>
    <t>FL250432</t>
  </si>
  <si>
    <t>FL250433</t>
  </si>
  <si>
    <t>FL250434</t>
  </si>
  <si>
    <t>FL250435</t>
  </si>
  <si>
    <t>FL250436</t>
  </si>
  <si>
    <t>FL250437</t>
  </si>
  <si>
    <t>FL250438</t>
  </si>
  <si>
    <t>FL250439</t>
  </si>
  <si>
    <t>FL250440</t>
  </si>
  <si>
    <t>FL250441</t>
  </si>
  <si>
    <t>FL250442</t>
  </si>
  <si>
    <t>FL250443</t>
  </si>
  <si>
    <t>FL250444</t>
  </si>
  <si>
    <t>FL250445</t>
  </si>
  <si>
    <t>FL250446</t>
  </si>
  <si>
    <t>FL250447</t>
  </si>
  <si>
    <t>FL250448</t>
  </si>
  <si>
    <t>FL250449</t>
  </si>
  <si>
    <t>FL250450</t>
  </si>
  <si>
    <t>FL250451</t>
  </si>
  <si>
    <t>FL250452</t>
  </si>
  <si>
    <t>FL250453</t>
  </si>
  <si>
    <t>FL250454</t>
  </si>
  <si>
    <t>FL250455</t>
  </si>
  <si>
    <t>FL250456</t>
  </si>
  <si>
    <t>FL250457</t>
  </si>
  <si>
    <t>FL250458</t>
  </si>
  <si>
    <t>FL250459</t>
  </si>
  <si>
    <t>FL250460</t>
  </si>
  <si>
    <t>FL250461</t>
  </si>
  <si>
    <t>FL250462</t>
  </si>
  <si>
    <t>FL250463</t>
  </si>
  <si>
    <t>FL250464</t>
  </si>
  <si>
    <t>FL250465</t>
  </si>
  <si>
    <t>FL250466</t>
  </si>
  <si>
    <t>FL250467</t>
  </si>
  <si>
    <t>FL250468</t>
  </si>
  <si>
    <t>FL250469</t>
  </si>
  <si>
    <t>FL250470</t>
  </si>
  <si>
    <t>FL250471</t>
  </si>
  <si>
    <t>FL250472</t>
  </si>
  <si>
    <t>FL250473</t>
  </si>
  <si>
    <t>FL250474</t>
  </si>
  <si>
    <t>FL250475</t>
  </si>
  <si>
    <t>FL250476</t>
  </si>
  <si>
    <t>FL250477</t>
  </si>
  <si>
    <t>FL250478</t>
  </si>
  <si>
    <t>FL250479</t>
  </si>
  <si>
    <t>FL250480</t>
  </si>
  <si>
    <t>FL250481</t>
  </si>
  <si>
    <t>FL250482</t>
  </si>
  <si>
    <t>FL250483</t>
  </si>
  <si>
    <t>FL250484</t>
  </si>
  <si>
    <t>FL250485</t>
  </si>
  <si>
    <t>FL250486</t>
  </si>
  <si>
    <t>FL250487</t>
  </si>
  <si>
    <t>FL250488</t>
  </si>
  <si>
    <t>FL250489</t>
  </si>
  <si>
    <t>FL250490</t>
  </si>
  <si>
    <t>FL250491</t>
  </si>
  <si>
    <t>FL250492</t>
  </si>
  <si>
    <t>FL250493</t>
  </si>
  <si>
    <t>FL250494</t>
  </si>
  <si>
    <t>FL250495</t>
  </si>
  <si>
    <t>FL250496</t>
  </si>
  <si>
    <t>FL250497</t>
  </si>
  <si>
    <t>FL250498</t>
  </si>
  <si>
    <t>FL250499</t>
  </si>
  <si>
    <t>FL250500</t>
  </si>
  <si>
    <t>FL250501</t>
  </si>
  <si>
    <t>FL250502</t>
  </si>
  <si>
    <t>FL250503</t>
  </si>
  <si>
    <t>FL250504</t>
  </si>
  <si>
    <t>FL250505</t>
  </si>
  <si>
    <t>FL250506</t>
  </si>
  <si>
    <t>FL250507</t>
  </si>
  <si>
    <t>FL250508</t>
  </si>
  <si>
    <t>FL250509</t>
  </si>
  <si>
    <t>FL250510</t>
  </si>
  <si>
    <t>FL250511</t>
  </si>
  <si>
    <t>FL250512</t>
  </si>
  <si>
    <t>FL250513</t>
  </si>
  <si>
    <t>FL250514</t>
  </si>
  <si>
    <t>FL250515</t>
  </si>
  <si>
    <t>FL250516</t>
  </si>
  <si>
    <t>FL250517</t>
  </si>
  <si>
    <t>FL250518</t>
  </si>
  <si>
    <t>FL250519</t>
  </si>
  <si>
    <t>FL250520</t>
  </si>
  <si>
    <t>FL250521</t>
  </si>
  <si>
    <t>FL250522</t>
  </si>
  <si>
    <t>FL250523</t>
  </si>
  <si>
    <t>FL250524</t>
  </si>
  <si>
    <t>FL250525</t>
  </si>
  <si>
    <t>FL250526</t>
  </si>
  <si>
    <t>FL250527</t>
  </si>
  <si>
    <t>FL250528</t>
  </si>
  <si>
    <t>FL250529</t>
  </si>
  <si>
    <t>FL250530</t>
  </si>
  <si>
    <t>FL250531</t>
  </si>
  <si>
    <t>FL250532</t>
  </si>
  <si>
    <t>FL250533</t>
  </si>
  <si>
    <t>FL250534</t>
  </si>
  <si>
    <t>FL250535</t>
  </si>
  <si>
    <t>FL250536</t>
  </si>
  <si>
    <t>FL250537</t>
  </si>
  <si>
    <t>FL250538</t>
  </si>
  <si>
    <t>FL250539</t>
  </si>
  <si>
    <t>FL250540</t>
  </si>
  <si>
    <t>FL250541</t>
  </si>
  <si>
    <t>FL250542</t>
  </si>
  <si>
    <t>FL250543</t>
  </si>
  <si>
    <t>FL250544</t>
  </si>
  <si>
    <t>FL250545</t>
  </si>
  <si>
    <t>FL250546</t>
  </si>
  <si>
    <t>FL250547</t>
  </si>
  <si>
    <t>FL250548</t>
  </si>
  <si>
    <t>FL250549</t>
  </si>
  <si>
    <t>FL250550</t>
  </si>
  <si>
    <t>FL250551</t>
  </si>
  <si>
    <t>FL250552</t>
  </si>
  <si>
    <t>FL250553</t>
  </si>
  <si>
    <t>FL250554</t>
  </si>
  <si>
    <t>FL250555</t>
  </si>
  <si>
    <t>FL250556</t>
  </si>
  <si>
    <t>FL250557</t>
  </si>
  <si>
    <t>FL250558</t>
  </si>
  <si>
    <t>FL250559</t>
  </si>
  <si>
    <t>FL250560</t>
  </si>
  <si>
    <t>FL250561</t>
  </si>
  <si>
    <t>FL250562</t>
  </si>
  <si>
    <t>FL250563</t>
  </si>
  <si>
    <t>FL250564</t>
  </si>
  <si>
    <t>FL250565</t>
  </si>
  <si>
    <t>FL250566</t>
  </si>
  <si>
    <t>FL250567</t>
  </si>
  <si>
    <t>FL250568</t>
  </si>
  <si>
    <t>FL250569</t>
  </si>
  <si>
    <t>FL250570</t>
  </si>
  <si>
    <t>FL250571</t>
  </si>
  <si>
    <t>FL250572</t>
  </si>
  <si>
    <t>FL250573</t>
  </si>
  <si>
    <t>FL250574</t>
  </si>
  <si>
    <t>FL250575</t>
  </si>
  <si>
    <t>FL250576</t>
  </si>
  <si>
    <t>FL250577</t>
  </si>
  <si>
    <t>FL250578</t>
  </si>
  <si>
    <t>FL250579</t>
  </si>
  <si>
    <t>FL250580</t>
  </si>
  <si>
    <t>FL250581</t>
  </si>
  <si>
    <t>FL250582</t>
  </si>
  <si>
    <t>FL250583</t>
  </si>
  <si>
    <t>FL250584</t>
  </si>
  <si>
    <t>FL250585</t>
  </si>
  <si>
    <t>FL250586</t>
  </si>
  <si>
    <t>FL250587</t>
  </si>
  <si>
    <t>FL250588</t>
  </si>
  <si>
    <t>FL250589</t>
  </si>
  <si>
    <t>FL250590</t>
  </si>
  <si>
    <t>FL250591</t>
  </si>
  <si>
    <t>FL250592</t>
  </si>
  <si>
    <t>FL250593</t>
  </si>
  <si>
    <t>FL250594</t>
  </si>
  <si>
    <t>FL250595</t>
  </si>
  <si>
    <t>FL250596</t>
  </si>
  <si>
    <t>FL250597</t>
  </si>
  <si>
    <t>FL250598</t>
  </si>
  <si>
    <t>FL250599</t>
  </si>
  <si>
    <t>FL250600</t>
  </si>
  <si>
    <t>FL250601</t>
  </si>
  <si>
    <t>FL250602</t>
  </si>
  <si>
    <t>FL250603</t>
  </si>
  <si>
    <t>FL250604</t>
  </si>
  <si>
    <t>FL250605</t>
  </si>
  <si>
    <t>FL250606</t>
  </si>
  <si>
    <t>FL250607</t>
  </si>
  <si>
    <t>FL250608</t>
  </si>
  <si>
    <t>FL250609</t>
  </si>
  <si>
    <t>FL250610</t>
  </si>
  <si>
    <t>FL250611</t>
  </si>
  <si>
    <t>FL250612</t>
  </si>
  <si>
    <t>FL250613</t>
  </si>
  <si>
    <t>FL250614</t>
  </si>
  <si>
    <t>FL250615</t>
  </si>
  <si>
    <t>FL250616</t>
  </si>
  <si>
    <t>FL250617</t>
  </si>
  <si>
    <t>FL250618</t>
  </si>
  <si>
    <t>FL250619</t>
  </si>
  <si>
    <t>FL250620</t>
  </si>
  <si>
    <t>FL250621</t>
  </si>
  <si>
    <t>FL250622</t>
  </si>
  <si>
    <t>FL250623</t>
  </si>
  <si>
    <t>FL250624</t>
  </si>
  <si>
    <t>FL250625</t>
  </si>
  <si>
    <t>FL250626</t>
  </si>
  <si>
    <t>FL250627</t>
  </si>
  <si>
    <t>FL250628</t>
  </si>
  <si>
    <t>FL250629</t>
  </si>
  <si>
    <t>FL250630</t>
  </si>
  <si>
    <t>FL250631</t>
  </si>
  <si>
    <t>FL250632</t>
  </si>
  <si>
    <t>FL250633</t>
  </si>
  <si>
    <t>FL250634</t>
  </si>
  <si>
    <t>FL250635</t>
  </si>
  <si>
    <t>FL250636</t>
  </si>
  <si>
    <t>FL250637</t>
  </si>
  <si>
    <t>FL250638</t>
  </si>
  <si>
    <t>FL250639</t>
  </si>
  <si>
    <t>FL250640</t>
  </si>
  <si>
    <t>FL250641</t>
  </si>
  <si>
    <t>FL250642</t>
  </si>
  <si>
    <t>FL250643</t>
  </si>
  <si>
    <t>FL250644</t>
  </si>
  <si>
    <t>FL250645</t>
  </si>
  <si>
    <t>FL250646</t>
  </si>
  <si>
    <t>FL250647</t>
  </si>
  <si>
    <t>FL250648</t>
  </si>
  <si>
    <t>FL250649</t>
  </si>
  <si>
    <t>FL250650</t>
  </si>
  <si>
    <t>FL250651</t>
  </si>
  <si>
    <t>FL250652</t>
  </si>
  <si>
    <t>FL250653</t>
  </si>
  <si>
    <t>FL250654</t>
  </si>
  <si>
    <t>FL250655</t>
  </si>
  <si>
    <t>FL250656</t>
  </si>
  <si>
    <t>FL250657</t>
  </si>
  <si>
    <t>FL250658</t>
  </si>
  <si>
    <t>FL250659</t>
  </si>
  <si>
    <t>FL250660</t>
  </si>
  <si>
    <t>FL250661</t>
  </si>
  <si>
    <t>FL250662</t>
  </si>
  <si>
    <t>FL250663</t>
  </si>
  <si>
    <t>FL250664</t>
  </si>
  <si>
    <t>FL250665</t>
  </si>
  <si>
    <t>FL250666</t>
  </si>
  <si>
    <t>FL250667</t>
  </si>
  <si>
    <t>FL250668</t>
  </si>
  <si>
    <t>FL250669</t>
  </si>
  <si>
    <t>FL250670</t>
  </si>
  <si>
    <t>FL250671</t>
  </si>
  <si>
    <t>FL250672</t>
  </si>
  <si>
    <t>FL250673</t>
  </si>
  <si>
    <t>FL250674</t>
  </si>
  <si>
    <t>FL250675</t>
  </si>
  <si>
    <t>FL250676</t>
  </si>
  <si>
    <t>FL250677</t>
  </si>
  <si>
    <t>FL250678</t>
  </si>
  <si>
    <t>FL250679</t>
  </si>
  <si>
    <t>FL250680</t>
  </si>
  <si>
    <t>FL250681</t>
  </si>
  <si>
    <t>FL250682</t>
  </si>
  <si>
    <t>FL250683</t>
  </si>
  <si>
    <t>FL250684</t>
  </si>
  <si>
    <t>FL250685</t>
  </si>
  <si>
    <t>FL250686</t>
  </si>
  <si>
    <t>FL250687</t>
  </si>
  <si>
    <t>FL250688</t>
  </si>
  <si>
    <t>FL250689</t>
  </si>
  <si>
    <t>FL250690</t>
  </si>
  <si>
    <t>FL250691</t>
  </si>
  <si>
    <t>FL250692</t>
  </si>
  <si>
    <t>FL250693</t>
  </si>
  <si>
    <t>FL250694</t>
  </si>
  <si>
    <t>FL250695</t>
  </si>
  <si>
    <t>FL250696</t>
  </si>
  <si>
    <t>FL250697</t>
  </si>
  <si>
    <t>FL250698</t>
  </si>
  <si>
    <t>FL250699</t>
  </si>
  <si>
    <t>FL250700</t>
  </si>
  <si>
    <t>FL250701</t>
  </si>
  <si>
    <t>FL250702</t>
  </si>
  <si>
    <t>FL250703</t>
  </si>
  <si>
    <t>FL250704</t>
  </si>
  <si>
    <t>FL250705</t>
  </si>
  <si>
    <t>FL250706</t>
  </si>
  <si>
    <t>FL250707</t>
  </si>
  <si>
    <t>FL250708</t>
  </si>
  <si>
    <t>FL250709</t>
  </si>
  <si>
    <t>FL250710</t>
  </si>
  <si>
    <t>FL250711</t>
  </si>
  <si>
    <t>FL250712</t>
  </si>
  <si>
    <t>FL250713</t>
  </si>
  <si>
    <t>FL250714</t>
  </si>
  <si>
    <t>FL250715</t>
  </si>
  <si>
    <t>FL250716</t>
  </si>
  <si>
    <t>FL250717</t>
  </si>
  <si>
    <t>FL250718</t>
  </si>
  <si>
    <t>FL250719</t>
  </si>
  <si>
    <t>FL250720</t>
  </si>
  <si>
    <t>FL250721</t>
  </si>
  <si>
    <t>FL250722</t>
  </si>
  <si>
    <t>FL250723</t>
  </si>
  <si>
    <t>FL250724</t>
  </si>
  <si>
    <t>FL250725</t>
  </si>
  <si>
    <t>FL250726</t>
  </si>
  <si>
    <t>FL250727</t>
  </si>
  <si>
    <t>FL250728</t>
  </si>
  <si>
    <t>FL250729</t>
  </si>
  <si>
    <t>FL250730</t>
  </si>
  <si>
    <t>FL250731</t>
  </si>
  <si>
    <t>FL250732</t>
  </si>
  <si>
    <t>FL250733</t>
  </si>
  <si>
    <t>FL250734</t>
  </si>
  <si>
    <t>FL250735</t>
  </si>
  <si>
    <t>FL250736</t>
  </si>
  <si>
    <t>FL250737</t>
  </si>
  <si>
    <t>FL250738</t>
  </si>
  <si>
    <t>FL250739</t>
  </si>
  <si>
    <t>FL250740</t>
  </si>
  <si>
    <t>FL250741</t>
  </si>
  <si>
    <t>FL250742</t>
  </si>
  <si>
    <t>FL250743</t>
  </si>
  <si>
    <t>FL250744</t>
  </si>
  <si>
    <t>FL250745</t>
  </si>
  <si>
    <t>FL250746</t>
  </si>
  <si>
    <t>FL250747</t>
  </si>
  <si>
    <t>FL250748</t>
  </si>
  <si>
    <t>FL250749</t>
  </si>
  <si>
    <t>FL250750</t>
  </si>
  <si>
    <t>FL250751</t>
  </si>
  <si>
    <t>FL250752</t>
  </si>
  <si>
    <t>FL250753</t>
  </si>
  <si>
    <t>FL250754</t>
  </si>
  <si>
    <t>FL250755</t>
  </si>
  <si>
    <t>FL250756</t>
  </si>
  <si>
    <t>FL250757</t>
  </si>
  <si>
    <t>FL250758</t>
  </si>
  <si>
    <t>FL250759</t>
  </si>
  <si>
    <t>FL250760</t>
  </si>
  <si>
    <t>FL250761</t>
  </si>
  <si>
    <t>FL250762</t>
  </si>
  <si>
    <t>FL250763</t>
  </si>
  <si>
    <t>FL250764</t>
  </si>
  <si>
    <t>FL250765</t>
  </si>
  <si>
    <t>FL250766</t>
  </si>
  <si>
    <t>FL250767</t>
  </si>
  <si>
    <t>FL250768</t>
  </si>
  <si>
    <t>FL250769</t>
  </si>
  <si>
    <t>FL250770</t>
  </si>
  <si>
    <t>FL250771</t>
  </si>
  <si>
    <t>FL250772</t>
  </si>
  <si>
    <t>FL250773</t>
  </si>
  <si>
    <t>FL250774</t>
  </si>
  <si>
    <t>FL250775</t>
  </si>
  <si>
    <t>FL250776</t>
  </si>
  <si>
    <t>FL250777</t>
  </si>
  <si>
    <t>FL250778</t>
  </si>
  <si>
    <t>FL250779</t>
  </si>
  <si>
    <t>FL250780</t>
  </si>
  <si>
    <t>FL250781</t>
  </si>
  <si>
    <t>FL250782</t>
  </si>
  <si>
    <t>FL250783</t>
  </si>
  <si>
    <t>FL250784</t>
  </si>
  <si>
    <t>FL250785</t>
  </si>
  <si>
    <t>FL250786</t>
  </si>
  <si>
    <t>FL250787</t>
  </si>
  <si>
    <t>FL250788</t>
  </si>
  <si>
    <t>FL250789</t>
  </si>
  <si>
    <t>FL250790</t>
  </si>
  <si>
    <t>FL250791</t>
  </si>
  <si>
    <t>FL250792</t>
  </si>
  <si>
    <t>FL250793</t>
  </si>
  <si>
    <t>FL250794</t>
  </si>
  <si>
    <t>FL250795</t>
  </si>
  <si>
    <t>FL250796</t>
  </si>
  <si>
    <t>FL250797</t>
  </si>
  <si>
    <t>FL250798</t>
  </si>
  <si>
    <t>FL250799</t>
  </si>
  <si>
    <t>FL250800</t>
  </si>
  <si>
    <t>FL250801</t>
  </si>
  <si>
    <t>FL250802</t>
  </si>
  <si>
    <t>FL250803</t>
  </si>
  <si>
    <t>FL250804</t>
  </si>
  <si>
    <t>FL250805</t>
  </si>
  <si>
    <t>FL250806</t>
  </si>
  <si>
    <t>FL250807</t>
  </si>
  <si>
    <t>FL250808</t>
  </si>
  <si>
    <t>FL250809</t>
  </si>
  <si>
    <t>FL250810</t>
  </si>
  <si>
    <t>FL250811</t>
  </si>
  <si>
    <t>FL250812</t>
  </si>
  <si>
    <t>FL250813</t>
  </si>
  <si>
    <t>FL250814</t>
  </si>
  <si>
    <t>FL250815</t>
  </si>
  <si>
    <t>FL250816</t>
  </si>
  <si>
    <t>FL250817</t>
  </si>
  <si>
    <t>FL250818</t>
  </si>
  <si>
    <t>FL250819</t>
  </si>
  <si>
    <t>FL250820</t>
  </si>
  <si>
    <t>FL250821</t>
  </si>
  <si>
    <t>FL250822</t>
  </si>
  <si>
    <t>FL250823</t>
  </si>
  <si>
    <t>FL250824</t>
  </si>
  <si>
    <t>FL250825</t>
  </si>
  <si>
    <t>FL250826</t>
  </si>
  <si>
    <t>FL250827</t>
  </si>
  <si>
    <t>FL250828</t>
  </si>
  <si>
    <t>FL250829</t>
  </si>
  <si>
    <t>FL250830</t>
  </si>
  <si>
    <t>FL250831</t>
  </si>
  <si>
    <t>FL250832</t>
  </si>
  <si>
    <t>FL250833</t>
  </si>
  <si>
    <t>FL250834</t>
  </si>
  <si>
    <t>FL250835</t>
  </si>
  <si>
    <t>FL250836</t>
  </si>
  <si>
    <t>FL250837</t>
  </si>
  <si>
    <t>FL250838</t>
  </si>
  <si>
    <t>FL250839</t>
  </si>
  <si>
    <t>FL250840</t>
  </si>
  <si>
    <t>FL250841</t>
  </si>
  <si>
    <t>FL250842</t>
  </si>
  <si>
    <t>FL250843</t>
  </si>
  <si>
    <t>FL250844</t>
  </si>
  <si>
    <t>FL250845</t>
  </si>
  <si>
    <t>FL250846</t>
  </si>
  <si>
    <t>FL250847</t>
  </si>
  <si>
    <t>FL250848</t>
  </si>
  <si>
    <t>FL250849</t>
  </si>
  <si>
    <t>FL250850</t>
  </si>
  <si>
    <t>FL250851</t>
  </si>
  <si>
    <t>FL250852</t>
  </si>
  <si>
    <t>FL250853</t>
  </si>
  <si>
    <t>FL250854</t>
  </si>
  <si>
    <t>FL250855</t>
  </si>
  <si>
    <t>FL250856</t>
  </si>
  <si>
    <t>FL250857</t>
  </si>
  <si>
    <t>FL250858</t>
  </si>
  <si>
    <t>FL250859</t>
  </si>
  <si>
    <t>FL250860</t>
  </si>
  <si>
    <t>FL250861</t>
  </si>
  <si>
    <t>FL250862</t>
  </si>
  <si>
    <t>FL250863</t>
  </si>
  <si>
    <t>FL250864</t>
  </si>
  <si>
    <t>FL250865</t>
  </si>
  <si>
    <t>FL250866</t>
  </si>
  <si>
    <t>FL250867</t>
  </si>
  <si>
    <t>FL250868</t>
  </si>
  <si>
    <t>FL250869</t>
  </si>
  <si>
    <t>FL250870</t>
  </si>
  <si>
    <t>FL250871</t>
  </si>
  <si>
    <t>FL250872</t>
  </si>
  <si>
    <t>FL250873</t>
  </si>
  <si>
    <t>FL250874</t>
  </si>
  <si>
    <t>FL250875</t>
  </si>
  <si>
    <t>FL250876</t>
  </si>
  <si>
    <t>FL250877</t>
  </si>
  <si>
    <t>FL250878</t>
  </si>
  <si>
    <t>FL250879</t>
  </si>
  <si>
    <t>FL250880</t>
  </si>
  <si>
    <t>FL250881</t>
  </si>
  <si>
    <t>FL250882</t>
  </si>
  <si>
    <t>FL250883</t>
  </si>
  <si>
    <t>FL250884</t>
  </si>
  <si>
    <t>FL250885</t>
  </si>
  <si>
    <t>FL250886</t>
  </si>
  <si>
    <t>FL250887</t>
  </si>
  <si>
    <t>FL250888</t>
  </si>
  <si>
    <t>FL250889</t>
  </si>
  <si>
    <t>FL250890</t>
  </si>
  <si>
    <t>FL250891</t>
  </si>
  <si>
    <t>FL250892</t>
  </si>
  <si>
    <t>FL250893</t>
  </si>
  <si>
    <t>FL250894</t>
  </si>
  <si>
    <t>FL250895</t>
  </si>
  <si>
    <t>FL250896</t>
  </si>
  <si>
    <t>FL250897</t>
  </si>
  <si>
    <t>FL250898</t>
  </si>
  <si>
    <t>FL250899</t>
  </si>
  <si>
    <t>FL250900</t>
  </si>
  <si>
    <t>FL250901</t>
  </si>
  <si>
    <t>FL250902</t>
  </si>
  <si>
    <t>FL250903</t>
  </si>
  <si>
    <t>FL250904</t>
  </si>
  <si>
    <t>FL250905</t>
  </si>
  <si>
    <t>FL250906</t>
  </si>
  <si>
    <t>FL250907</t>
  </si>
  <si>
    <t>FL250908</t>
  </si>
  <si>
    <t>FL250909</t>
  </si>
  <si>
    <t>FL250910</t>
  </si>
  <si>
    <t>FL250911</t>
  </si>
  <si>
    <t>FL250912</t>
  </si>
  <si>
    <t>FL250913</t>
  </si>
  <si>
    <t>FL250914</t>
  </si>
  <si>
    <t>FL250915</t>
  </si>
  <si>
    <t>FL250916</t>
  </si>
  <si>
    <t>FL250917</t>
  </si>
  <si>
    <t>FL250918</t>
  </si>
  <si>
    <t>FL250919</t>
  </si>
  <si>
    <t>FL250920</t>
  </si>
  <si>
    <t>FL250921</t>
  </si>
  <si>
    <t>FL250922</t>
  </si>
  <si>
    <t>FL250923</t>
  </si>
  <si>
    <t>FL250924</t>
  </si>
  <si>
    <t>FL250925</t>
  </si>
  <si>
    <t>FL250926</t>
  </si>
  <si>
    <t>FL250927</t>
  </si>
  <si>
    <t>FL250928</t>
  </si>
  <si>
    <t>FL250929</t>
  </si>
  <si>
    <t>FL250930</t>
  </si>
  <si>
    <t>FL250931</t>
  </si>
  <si>
    <t>FL250932</t>
  </si>
  <si>
    <t>FL250933</t>
  </si>
  <si>
    <t>FL250934</t>
  </si>
  <si>
    <t>FL250935</t>
  </si>
  <si>
    <t>FL250936</t>
  </si>
  <si>
    <t>FL250937</t>
  </si>
  <si>
    <t>FL250938</t>
  </si>
  <si>
    <t>FL250939</t>
  </si>
  <si>
    <t>FL250940</t>
  </si>
  <si>
    <t>FL250941</t>
  </si>
  <si>
    <t>FL250942</t>
  </si>
  <si>
    <t>FL250943</t>
  </si>
  <si>
    <t>FL250944</t>
  </si>
  <si>
    <t>FL250945</t>
  </si>
  <si>
    <t>FL250946</t>
  </si>
  <si>
    <t>FL250947</t>
  </si>
  <si>
    <t>FL250948</t>
  </si>
  <si>
    <t>FL250949</t>
  </si>
  <si>
    <t>FL250950</t>
  </si>
  <si>
    <t>FL250951</t>
  </si>
  <si>
    <t>FL250952</t>
  </si>
  <si>
    <t>FL250953</t>
  </si>
  <si>
    <t>FL250954</t>
  </si>
  <si>
    <t>FL250955</t>
  </si>
  <si>
    <t>FL250956</t>
  </si>
  <si>
    <t>FL250957</t>
  </si>
  <si>
    <t>FL250958</t>
  </si>
  <si>
    <t>FL250959</t>
  </si>
  <si>
    <t>FL250960</t>
  </si>
  <si>
    <t>FL250961</t>
  </si>
  <si>
    <t>FL250962</t>
  </si>
  <si>
    <t>FL250963</t>
  </si>
  <si>
    <t>FL250964</t>
  </si>
  <si>
    <t>FL250965</t>
  </si>
  <si>
    <t>FL250966</t>
  </si>
  <si>
    <t>FL250967</t>
  </si>
  <si>
    <t>FL250968</t>
  </si>
  <si>
    <t>FL250969</t>
  </si>
  <si>
    <t>FL250970</t>
  </si>
  <si>
    <t>FL250971</t>
  </si>
  <si>
    <t>FL250972</t>
  </si>
  <si>
    <t>FL250973</t>
  </si>
  <si>
    <t>FL250974</t>
  </si>
  <si>
    <t>FL250975</t>
  </si>
  <si>
    <t>FL250976</t>
  </si>
  <si>
    <t>FL250977</t>
  </si>
  <si>
    <t>FL250978</t>
  </si>
  <si>
    <t>FL250979</t>
  </si>
  <si>
    <t>FL250980</t>
  </si>
  <si>
    <t>FL250981</t>
  </si>
  <si>
    <t>FL250982</t>
  </si>
  <si>
    <t>FL250983</t>
  </si>
  <si>
    <t>FL250984</t>
  </si>
  <si>
    <t>FL250985</t>
  </si>
  <si>
    <t>FL250986</t>
  </si>
  <si>
    <t>FL250987</t>
  </si>
  <si>
    <t>FL250988</t>
  </si>
  <si>
    <t>FL250989</t>
  </si>
  <si>
    <t>FL250990</t>
  </si>
  <si>
    <t>FL250991</t>
  </si>
  <si>
    <t>FL250992</t>
  </si>
  <si>
    <t>FL250993</t>
  </si>
  <si>
    <t>FL250994</t>
  </si>
  <si>
    <t>FL250995</t>
  </si>
  <si>
    <t>FL250996</t>
  </si>
  <si>
    <t>FL250997</t>
  </si>
  <si>
    <t>FL250998</t>
  </si>
  <si>
    <t>FL250999</t>
  </si>
  <si>
    <t>FL251000</t>
  </si>
  <si>
    <t>names</t>
  </si>
  <si>
    <t>NOT-ACTIVE</t>
  </si>
  <si>
    <t>ACTIVE</t>
  </si>
  <si>
    <t>Rating</t>
  </si>
  <si>
    <t>cust sat</t>
  </si>
  <si>
    <t>ex bucket</t>
  </si>
  <si>
    <t>status</t>
  </si>
  <si>
    <t>hr rate</t>
  </si>
  <si>
    <t>sex</t>
  </si>
  <si>
    <t>hourly_rate (USD)</t>
  </si>
  <si>
    <t>USD 100</t>
  </si>
  <si>
    <t>USD 75</t>
  </si>
  <si>
    <t>USD 40</t>
  </si>
  <si>
    <t>USD 50</t>
  </si>
  <si>
    <t>USD 30</t>
  </si>
  <si>
    <t>USD 20</t>
  </si>
  <si>
    <t>Row Labels</t>
  </si>
  <si>
    <t>(blank)</t>
  </si>
  <si>
    <t>Grand Total</t>
  </si>
  <si>
    <t>Count of freelancer_ID</t>
  </si>
  <si>
    <t xml:space="preserve"> 16-20</t>
  </si>
  <si>
    <t>0-5</t>
  </si>
  <si>
    <t>11-16</t>
  </si>
  <si>
    <t>21- 25</t>
  </si>
  <si>
    <t>26-30</t>
  </si>
  <si>
    <t>31+</t>
  </si>
  <si>
    <t>5-10</t>
  </si>
  <si>
    <t>Average of Rating</t>
  </si>
  <si>
    <t>hhhh rate</t>
  </si>
  <si>
    <t>countryy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</si>
</sst>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1" formatCode="_(* #,##0_);_(* \(#,##0\);_(* &quot;-&quot;_);_(@_)"/>
    <numFmt numFmtId="164" formatCode="_(* #,##0.0_);_(* \(#,##0.0\);_(* &quot;-&quot;?_);_(@_)"/>
  </numFmts>
  <fonts count="3" x14ac:knownFonts="1">
    <font>
      <sz val="11"/>
      <color theme="1"/>
      <name val="Calibri"/>
      <family val="2"/>
      <scheme val="minor"/>
    </font>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Alignment="1">
      <alignment horizontal="center"/>
    </xf>
    <xf numFmtId="6" fontId="0" fillId="0" borderId="0" xfId="0" applyNumberFormat="1" applyAlignment="1">
      <alignment horizontal="center"/>
    </xf>
    <xf numFmtId="9" fontId="0" fillId="0" borderId="0" xfId="1" applyFont="1"/>
    <xf numFmtId="9" fontId="0" fillId="0" borderId="0" xfId="0" applyNumberFormat="1"/>
    <xf numFmtId="0" fontId="0" fillId="0" borderId="0" xfId="0" pivotButton="1"/>
    <xf numFmtId="0" fontId="0" fillId="0" borderId="0" xfId="0" applyAlignment="1">
      <alignment horizontal="left"/>
    </xf>
    <xf numFmtId="41" fontId="0" fillId="0" borderId="0" xfId="0" applyNumberFormat="1"/>
    <xf numFmtId="41" fontId="0" fillId="0" borderId="0" xfId="1" applyNumberFormat="1" applyFont="1"/>
    <xf numFmtId="1" fontId="0" fillId="0" borderId="0" xfId="1" applyNumberFormat="1" applyFont="1"/>
    <xf numFmtId="1" fontId="0" fillId="0" borderId="0" xfId="0" applyNumberFormat="1"/>
    <xf numFmtId="0" fontId="0" fillId="2" borderId="0" xfId="0" applyFill="1"/>
    <xf numFmtId="0" fontId="2" fillId="2" borderId="0" xfId="0" applyFont="1" applyFill="1"/>
    <xf numFmtId="0" fontId="2" fillId="2" borderId="0" xfId="0" applyFont="1" applyFill="1" applyAlignment="1">
      <alignment horizontal="center"/>
    </xf>
    <xf numFmtId="164" fontId="0" fillId="0" borderId="0" xfId="0" applyNumberFormat="1"/>
  </cellXfs>
  <cellStyles count="2">
    <cellStyle name="Normal" xfId="0" builtinId="0"/>
    <cellStyle name="Percent" xfId="1" builtinId="5"/>
  </cellStyles>
  <dxfs count="9">
    <dxf>
      <font>
        <color rgb="FF9C0006"/>
      </font>
      <fill>
        <patternFill>
          <bgColor rgb="FFFFC7CE"/>
        </patternFill>
      </fill>
    </dxf>
    <dxf>
      <numFmt numFmtId="1" formatCode="0"/>
    </dxf>
    <dxf>
      <numFmt numFmtId="1" formatCode="0"/>
    </dxf>
    <dxf>
      <numFmt numFmtId="13" formatCode="0%"/>
    </dxf>
    <dxf>
      <numFmt numFmtId="13" formatCode="0%"/>
    </dxf>
    <dxf>
      <numFmt numFmtId="164" formatCode="_(* #,##0.0_);_(* \(#,##0.0\);_(* &quot;-&quot;?_);_(@_)"/>
    </dxf>
    <dxf>
      <numFmt numFmtId="164" formatCode="_(* #,##0.0_);_(* \(#,##0.0\);_(* &quot;-&quot;?_);_(@_)"/>
    </dxf>
    <dxf>
      <numFmt numFmtId="33" formatCode="_(* #,##0_);_(* \(#,##0\);_(* &quot;-&quot;_);_(@_)"/>
    </dxf>
    <dxf>
      <numFmt numFmtId="33"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externalLink" Target="externalLinks/externalLink2.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 data cleaning.xlsx]Sheet2!PivotTable1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AI</c:v>
                </c:pt>
                <c:pt idx="1">
                  <c:v>Machine Learning</c:v>
                </c:pt>
                <c:pt idx="2">
                  <c:v>UI/UX Design</c:v>
                </c:pt>
                <c:pt idx="3">
                  <c:v>Graphic Design</c:v>
                </c:pt>
                <c:pt idx="4">
                  <c:v>DevOps</c:v>
                </c:pt>
                <c:pt idx="5">
                  <c:v>Cybersecurity</c:v>
                </c:pt>
                <c:pt idx="6">
                  <c:v>Data Analysis</c:v>
                </c:pt>
                <c:pt idx="7">
                  <c:v>Blockchain Development</c:v>
                </c:pt>
                <c:pt idx="8">
                  <c:v>Web Development</c:v>
                </c:pt>
                <c:pt idx="9">
                  <c:v>Mobile Apps</c:v>
                </c:pt>
              </c:strCache>
            </c:strRef>
          </c:cat>
          <c:val>
            <c:numRef>
              <c:f>Sheet2!$B$4:$B$14</c:f>
              <c:numCache>
                <c:formatCode>_(* #,##0.0_);_(* \(#,##0.0\);_(* "-"?_);_(@_)</c:formatCode>
                <c:ptCount val="10"/>
                <c:pt idx="0">
                  <c:v>2.8972222222222221</c:v>
                </c:pt>
                <c:pt idx="1">
                  <c:v>2.7800000000000007</c:v>
                </c:pt>
                <c:pt idx="2">
                  <c:v>2.5857142857142859</c:v>
                </c:pt>
                <c:pt idx="3">
                  <c:v>2.5710526315789477</c:v>
                </c:pt>
                <c:pt idx="4">
                  <c:v>2.53125</c:v>
                </c:pt>
                <c:pt idx="5">
                  <c:v>2.424390243902439</c:v>
                </c:pt>
                <c:pt idx="6">
                  <c:v>2.402173913043478</c:v>
                </c:pt>
                <c:pt idx="7">
                  <c:v>2.3891891891891888</c:v>
                </c:pt>
                <c:pt idx="8">
                  <c:v>2.1465116279069765</c:v>
                </c:pt>
                <c:pt idx="9">
                  <c:v>2.0421052631578944</c:v>
                </c:pt>
              </c:numCache>
            </c:numRef>
          </c:val>
          <c:extLst>
            <c:ext xmlns:c16="http://schemas.microsoft.com/office/drawing/2014/chart" uri="{C3380CC4-5D6E-409C-BE32-E72D297353CC}">
              <c16:uniqueId val="{00000000-8F64-4E20-81C6-3CE7A0623B22}"/>
            </c:ext>
          </c:extLst>
        </c:ser>
        <c:dLbls>
          <c:showLegendKey val="0"/>
          <c:showVal val="0"/>
          <c:showCatName val="0"/>
          <c:showSerName val="0"/>
          <c:showPercent val="0"/>
          <c:showBubbleSize val="0"/>
        </c:dLbls>
        <c:gapWidth val="219"/>
        <c:overlap val="-27"/>
        <c:axId val="232271312"/>
        <c:axId val="232273232"/>
      </c:barChart>
      <c:catAx>
        <c:axId val="2322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73232"/>
        <c:crosses val="autoZero"/>
        <c:auto val="1"/>
        <c:lblAlgn val="ctr"/>
        <c:lblOffset val="100"/>
        <c:noMultiLvlLbl val="0"/>
      </c:catAx>
      <c:valAx>
        <c:axId val="232273232"/>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 data cleaning.xlsx]Sheet2!PivotTable2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c:f>
              <c:strCache>
                <c:ptCount val="1"/>
                <c:pt idx="0">
                  <c:v>Total</c:v>
                </c:pt>
              </c:strCache>
            </c:strRef>
          </c:tx>
          <c:spPr>
            <a:solidFill>
              <a:schemeClr val="accent1"/>
            </a:solidFill>
            <a:ln>
              <a:noFill/>
            </a:ln>
            <a:effectLst/>
          </c:spPr>
          <c:invertIfNegative val="0"/>
          <c:cat>
            <c:strRef>
              <c:f>Sheet2!$E$5:$E$12</c:f>
              <c:strCache>
                <c:ptCount val="7"/>
                <c:pt idx="0">
                  <c:v>0-5</c:v>
                </c:pt>
                <c:pt idx="1">
                  <c:v>5-10</c:v>
                </c:pt>
                <c:pt idx="2">
                  <c:v>11-16</c:v>
                </c:pt>
                <c:pt idx="3">
                  <c:v>21- 25</c:v>
                </c:pt>
                <c:pt idx="4">
                  <c:v> 16-20</c:v>
                </c:pt>
                <c:pt idx="5">
                  <c:v>31+</c:v>
                </c:pt>
                <c:pt idx="6">
                  <c:v>26-30</c:v>
                </c:pt>
              </c:strCache>
            </c:strRef>
          </c:cat>
          <c:val>
            <c:numRef>
              <c:f>Sheet2!$F$5:$F$12</c:f>
              <c:numCache>
                <c:formatCode>0%</c:formatCode>
                <c:ptCount val="7"/>
                <c:pt idx="0">
                  <c:v>0.40215053763440861</c:v>
                </c:pt>
                <c:pt idx="1">
                  <c:v>0.17634408602150536</c:v>
                </c:pt>
                <c:pt idx="2">
                  <c:v>0.16559139784946236</c:v>
                </c:pt>
                <c:pt idx="3">
                  <c:v>9.0322580645161285E-2</c:v>
                </c:pt>
                <c:pt idx="4">
                  <c:v>8.8172043010752682E-2</c:v>
                </c:pt>
                <c:pt idx="5">
                  <c:v>4.5161290322580643E-2</c:v>
                </c:pt>
                <c:pt idx="6">
                  <c:v>3.2258064516129031E-2</c:v>
                </c:pt>
              </c:numCache>
            </c:numRef>
          </c:val>
          <c:extLst>
            <c:ext xmlns:c16="http://schemas.microsoft.com/office/drawing/2014/chart" uri="{C3380CC4-5D6E-409C-BE32-E72D297353CC}">
              <c16:uniqueId val="{00000000-4D79-4B7D-950B-FF6C2C135D51}"/>
            </c:ext>
          </c:extLst>
        </c:ser>
        <c:dLbls>
          <c:showLegendKey val="0"/>
          <c:showVal val="0"/>
          <c:showCatName val="0"/>
          <c:showSerName val="0"/>
          <c:showPercent val="0"/>
          <c:showBubbleSize val="0"/>
        </c:dLbls>
        <c:gapWidth val="219"/>
        <c:overlap val="-27"/>
        <c:axId val="1026669008"/>
        <c:axId val="1026693008"/>
      </c:barChart>
      <c:catAx>
        <c:axId val="102666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93008"/>
        <c:crosses val="autoZero"/>
        <c:auto val="1"/>
        <c:lblAlgn val="ctr"/>
        <c:lblOffset val="100"/>
        <c:noMultiLvlLbl val="0"/>
      </c:catAx>
      <c:valAx>
        <c:axId val="1026693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6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 data cleaning.xlsx]Sheet2!PivotTable4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Sheet2!$I$4</c:f>
              <c:strCache>
                <c:ptCount val="1"/>
                <c:pt idx="0">
                  <c:v>Total</c:v>
                </c:pt>
              </c:strCache>
            </c:strRef>
          </c:tx>
          <c:spPr>
            <a:solidFill>
              <a:schemeClr val="accent1"/>
            </a:solidFill>
            <a:ln>
              <a:noFill/>
            </a:ln>
            <a:effectLst/>
          </c:spPr>
          <c:invertIfNegative val="0"/>
          <c:cat>
            <c:strRef>
              <c:f>Sheet2!$H$5:$H$13</c:f>
              <c:strCache>
                <c:ptCount val="8"/>
                <c:pt idx="0">
                  <c:v>40</c:v>
                </c:pt>
                <c:pt idx="1">
                  <c:v>100</c:v>
                </c:pt>
                <c:pt idx="2">
                  <c:v>50</c:v>
                </c:pt>
                <c:pt idx="3">
                  <c:v>30</c:v>
                </c:pt>
                <c:pt idx="4">
                  <c:v>20</c:v>
                </c:pt>
                <c:pt idx="5">
                  <c:v>75</c:v>
                </c:pt>
                <c:pt idx="6">
                  <c:v>0</c:v>
                </c:pt>
                <c:pt idx="7">
                  <c:v>(blank)</c:v>
                </c:pt>
              </c:strCache>
            </c:strRef>
          </c:cat>
          <c:val>
            <c:numRef>
              <c:f>Sheet2!$I$5:$I$13</c:f>
              <c:numCache>
                <c:formatCode>0</c:formatCode>
                <c:ptCount val="8"/>
                <c:pt idx="0">
                  <c:v>73</c:v>
                </c:pt>
                <c:pt idx="1">
                  <c:v>68</c:v>
                </c:pt>
                <c:pt idx="2">
                  <c:v>67</c:v>
                </c:pt>
                <c:pt idx="3">
                  <c:v>65</c:v>
                </c:pt>
                <c:pt idx="4">
                  <c:v>64</c:v>
                </c:pt>
                <c:pt idx="5">
                  <c:v>60</c:v>
                </c:pt>
                <c:pt idx="6">
                  <c:v>40</c:v>
                </c:pt>
                <c:pt idx="7">
                  <c:v>28</c:v>
                </c:pt>
              </c:numCache>
            </c:numRef>
          </c:val>
          <c:extLst>
            <c:ext xmlns:c16="http://schemas.microsoft.com/office/drawing/2014/chart" uri="{C3380CC4-5D6E-409C-BE32-E72D297353CC}">
              <c16:uniqueId val="{00000000-5840-43A3-900E-4D2DEBE448A0}"/>
            </c:ext>
          </c:extLst>
        </c:ser>
        <c:dLbls>
          <c:showLegendKey val="0"/>
          <c:showVal val="0"/>
          <c:showCatName val="0"/>
          <c:showSerName val="0"/>
          <c:showPercent val="0"/>
          <c:showBubbleSize val="0"/>
        </c:dLbls>
        <c:gapWidth val="219"/>
        <c:overlap val="-27"/>
        <c:axId val="1026685328"/>
        <c:axId val="1026675728"/>
      </c:barChart>
      <c:catAx>
        <c:axId val="102668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75728"/>
        <c:crosses val="autoZero"/>
        <c:auto val="1"/>
        <c:lblAlgn val="ctr"/>
        <c:lblOffset val="100"/>
        <c:noMultiLvlLbl val="0"/>
      </c:catAx>
      <c:valAx>
        <c:axId val="102667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8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 data cleaning.xlsx]Sheet2!PivotTable5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Sheet2!$M$4</c:f>
              <c:strCache>
                <c:ptCount val="1"/>
                <c:pt idx="0">
                  <c:v>Total</c:v>
                </c:pt>
              </c:strCache>
            </c:strRef>
          </c:tx>
          <c:spPr>
            <a:solidFill>
              <a:schemeClr val="accent1"/>
            </a:solidFill>
            <a:ln>
              <a:noFill/>
            </a:ln>
            <a:effectLst/>
          </c:spPr>
          <c:invertIfNegative val="0"/>
          <c:cat>
            <c:strRef>
              <c:f>Sheet2!$L$5:$L$21</c:f>
              <c:strCache>
                <c:ptCount val="16"/>
                <c:pt idx="0">
                  <c:v>English</c:v>
                </c:pt>
                <c:pt idx="1">
                  <c:v>Spanish</c:v>
                </c:pt>
                <c:pt idx="2">
                  <c:v>German</c:v>
                </c:pt>
                <c:pt idx="3">
                  <c:v>Korean</c:v>
                </c:pt>
                <c:pt idx="4">
                  <c:v>Italian</c:v>
                </c:pt>
                <c:pt idx="5">
                  <c:v>Indonesian</c:v>
                </c:pt>
                <c:pt idx="6">
                  <c:v>French</c:v>
                </c:pt>
                <c:pt idx="7">
                  <c:v>Mandarin</c:v>
                </c:pt>
                <c:pt idx="8">
                  <c:v>Turkish</c:v>
                </c:pt>
                <c:pt idx="9">
                  <c:v>Dutch</c:v>
                </c:pt>
                <c:pt idx="10">
                  <c:v>Arabic</c:v>
                </c:pt>
                <c:pt idx="11">
                  <c:v>Japanese</c:v>
                </c:pt>
                <c:pt idx="12">
                  <c:v>Hindi</c:v>
                </c:pt>
                <c:pt idx="13">
                  <c:v>Afrikaans</c:v>
                </c:pt>
                <c:pt idx="14">
                  <c:v>Russian</c:v>
                </c:pt>
                <c:pt idx="15">
                  <c:v>Portuguese</c:v>
                </c:pt>
              </c:strCache>
            </c:strRef>
          </c:cat>
          <c:val>
            <c:numRef>
              <c:f>Sheet2!$M$5:$M$21</c:f>
              <c:numCache>
                <c:formatCode>_(* #,##0_);_(* \(#,##0\);_(* "-"_);_(@_)</c:formatCode>
                <c:ptCount val="16"/>
                <c:pt idx="0">
                  <c:v>108</c:v>
                </c:pt>
                <c:pt idx="1">
                  <c:v>74</c:v>
                </c:pt>
                <c:pt idx="2">
                  <c:v>28</c:v>
                </c:pt>
                <c:pt idx="3">
                  <c:v>26</c:v>
                </c:pt>
                <c:pt idx="4">
                  <c:v>24</c:v>
                </c:pt>
                <c:pt idx="5">
                  <c:v>24</c:v>
                </c:pt>
                <c:pt idx="6">
                  <c:v>23</c:v>
                </c:pt>
                <c:pt idx="7">
                  <c:v>22</c:v>
                </c:pt>
                <c:pt idx="8">
                  <c:v>21</c:v>
                </c:pt>
                <c:pt idx="9">
                  <c:v>20</c:v>
                </c:pt>
                <c:pt idx="10">
                  <c:v>17</c:v>
                </c:pt>
                <c:pt idx="11">
                  <c:v>17</c:v>
                </c:pt>
                <c:pt idx="12">
                  <c:v>17</c:v>
                </c:pt>
                <c:pt idx="13">
                  <c:v>17</c:v>
                </c:pt>
                <c:pt idx="14">
                  <c:v>15</c:v>
                </c:pt>
                <c:pt idx="15">
                  <c:v>12</c:v>
                </c:pt>
              </c:numCache>
            </c:numRef>
          </c:val>
          <c:extLst>
            <c:ext xmlns:c16="http://schemas.microsoft.com/office/drawing/2014/chart" uri="{C3380CC4-5D6E-409C-BE32-E72D297353CC}">
              <c16:uniqueId val="{00000000-39E1-41AF-ACF0-297CECBF5DE7}"/>
            </c:ext>
          </c:extLst>
        </c:ser>
        <c:dLbls>
          <c:showLegendKey val="0"/>
          <c:showVal val="0"/>
          <c:showCatName val="0"/>
          <c:showSerName val="0"/>
          <c:showPercent val="0"/>
          <c:showBubbleSize val="0"/>
        </c:dLbls>
        <c:gapWidth val="219"/>
        <c:overlap val="-27"/>
        <c:axId val="1026677648"/>
        <c:axId val="1026678128"/>
      </c:barChart>
      <c:catAx>
        <c:axId val="102667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78128"/>
        <c:crosses val="autoZero"/>
        <c:auto val="1"/>
        <c:lblAlgn val="ctr"/>
        <c:lblOffset val="100"/>
        <c:noMultiLvlLbl val="0"/>
      </c:catAx>
      <c:valAx>
        <c:axId val="10266781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7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 data cleaning.xlsx]Sheet2!PivotTable3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Sheet2!$Q$4</c:f>
              <c:strCache>
                <c:ptCount val="1"/>
                <c:pt idx="0">
                  <c:v>Total</c:v>
                </c:pt>
              </c:strCache>
            </c:strRef>
          </c:tx>
          <c:spPr>
            <a:solidFill>
              <a:schemeClr val="accent1"/>
            </a:solidFill>
            <a:ln>
              <a:noFill/>
            </a:ln>
            <a:effectLst/>
          </c:spPr>
          <c:invertIfNegative val="0"/>
          <c:cat>
            <c:strRef>
              <c:f>Sheet2!$P$5:$P$26</c:f>
              <c:strCache>
                <c:ptCount val="21"/>
                <c:pt idx="0">
                  <c:v>United States</c:v>
                </c:pt>
                <c:pt idx="1">
                  <c:v>Germany</c:v>
                </c:pt>
                <c:pt idx="2">
                  <c:v>United Kingdom</c:v>
                </c:pt>
                <c:pt idx="3">
                  <c:v>Canada</c:v>
                </c:pt>
                <c:pt idx="4">
                  <c:v>Mexico</c:v>
                </c:pt>
                <c:pt idx="5">
                  <c:v>South Korea</c:v>
                </c:pt>
                <c:pt idx="6">
                  <c:v>Argentina</c:v>
                </c:pt>
                <c:pt idx="7">
                  <c:v>Indonesia</c:v>
                </c:pt>
                <c:pt idx="8">
                  <c:v>Italy</c:v>
                </c:pt>
                <c:pt idx="9">
                  <c:v>France</c:v>
                </c:pt>
                <c:pt idx="10">
                  <c:v>Spain</c:v>
                </c:pt>
                <c:pt idx="11">
                  <c:v>Australia</c:v>
                </c:pt>
                <c:pt idx="12">
                  <c:v>China</c:v>
                </c:pt>
                <c:pt idx="13">
                  <c:v>Turkey</c:v>
                </c:pt>
                <c:pt idx="14">
                  <c:v>Netherlands</c:v>
                </c:pt>
                <c:pt idx="15">
                  <c:v>Japan</c:v>
                </c:pt>
                <c:pt idx="16">
                  <c:v>India</c:v>
                </c:pt>
                <c:pt idx="17">
                  <c:v>South Africa</c:v>
                </c:pt>
                <c:pt idx="18">
                  <c:v>Egypt</c:v>
                </c:pt>
                <c:pt idx="19">
                  <c:v>Russia</c:v>
                </c:pt>
                <c:pt idx="20">
                  <c:v>Brazil</c:v>
                </c:pt>
              </c:strCache>
            </c:strRef>
          </c:cat>
          <c:val>
            <c:numRef>
              <c:f>Sheet2!$Q$5:$Q$26</c:f>
              <c:numCache>
                <c:formatCode>_(* #,##0_);_(* \(#,##0\);_(* "-"_);_(@_)</c:formatCode>
                <c:ptCount val="21"/>
                <c:pt idx="0">
                  <c:v>30</c:v>
                </c:pt>
                <c:pt idx="1">
                  <c:v>28</c:v>
                </c:pt>
                <c:pt idx="2">
                  <c:v>28</c:v>
                </c:pt>
                <c:pt idx="3">
                  <c:v>27</c:v>
                </c:pt>
                <c:pt idx="4">
                  <c:v>26</c:v>
                </c:pt>
                <c:pt idx="5">
                  <c:v>26</c:v>
                </c:pt>
                <c:pt idx="6">
                  <c:v>25</c:v>
                </c:pt>
                <c:pt idx="7">
                  <c:v>24</c:v>
                </c:pt>
                <c:pt idx="8">
                  <c:v>24</c:v>
                </c:pt>
                <c:pt idx="9">
                  <c:v>23</c:v>
                </c:pt>
                <c:pt idx="10">
                  <c:v>23</c:v>
                </c:pt>
                <c:pt idx="11">
                  <c:v>23</c:v>
                </c:pt>
                <c:pt idx="12">
                  <c:v>22</c:v>
                </c:pt>
                <c:pt idx="13">
                  <c:v>21</c:v>
                </c:pt>
                <c:pt idx="14">
                  <c:v>20</c:v>
                </c:pt>
                <c:pt idx="15">
                  <c:v>17</c:v>
                </c:pt>
                <c:pt idx="16">
                  <c:v>17</c:v>
                </c:pt>
                <c:pt idx="17">
                  <c:v>17</c:v>
                </c:pt>
                <c:pt idx="18">
                  <c:v>17</c:v>
                </c:pt>
                <c:pt idx="19">
                  <c:v>15</c:v>
                </c:pt>
                <c:pt idx="20">
                  <c:v>12</c:v>
                </c:pt>
              </c:numCache>
            </c:numRef>
          </c:val>
          <c:extLst>
            <c:ext xmlns:c16="http://schemas.microsoft.com/office/drawing/2014/chart" uri="{C3380CC4-5D6E-409C-BE32-E72D297353CC}">
              <c16:uniqueId val="{00000000-DC85-4B64-BD78-8E012FB5FA06}"/>
            </c:ext>
          </c:extLst>
        </c:ser>
        <c:dLbls>
          <c:showLegendKey val="0"/>
          <c:showVal val="0"/>
          <c:showCatName val="0"/>
          <c:showSerName val="0"/>
          <c:showPercent val="0"/>
          <c:showBubbleSize val="0"/>
        </c:dLbls>
        <c:gapWidth val="219"/>
        <c:overlap val="-27"/>
        <c:axId val="1026686288"/>
        <c:axId val="1026687248"/>
      </c:barChart>
      <c:catAx>
        <c:axId val="102668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87248"/>
        <c:crosses val="autoZero"/>
        <c:auto val="1"/>
        <c:lblAlgn val="ctr"/>
        <c:lblOffset val="100"/>
        <c:noMultiLvlLbl val="0"/>
      </c:catAx>
      <c:valAx>
        <c:axId val="1026687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8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62254</xdr:colOff>
      <xdr:row>14</xdr:row>
      <xdr:rowOff>174313</xdr:rowOff>
    </xdr:from>
    <xdr:to>
      <xdr:col>7</xdr:col>
      <xdr:colOff>369457</xdr:colOff>
      <xdr:row>30</xdr:row>
      <xdr:rowOff>27708</xdr:rowOff>
    </xdr:to>
    <xdr:graphicFrame macro="">
      <xdr:nvGraphicFramePr>
        <xdr:cNvPr id="4" name="Chart 3">
          <a:extLst>
            <a:ext uri="{FF2B5EF4-FFF2-40B4-BE49-F238E27FC236}">
              <a16:creationId xmlns:a16="http://schemas.microsoft.com/office/drawing/2014/main" id="{489C10CC-32AC-464E-96FD-1330D3157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504744</xdr:colOff>
      <xdr:row>9</xdr:row>
      <xdr:rowOff>113975</xdr:rowOff>
    </xdr:from>
    <xdr:to>
      <xdr:col>17</xdr:col>
      <xdr:colOff>209511</xdr:colOff>
      <xdr:row>24</xdr:row>
      <xdr:rowOff>154134</xdr:rowOff>
    </xdr:to>
    <xdr:graphicFrame macro="">
      <xdr:nvGraphicFramePr>
        <xdr:cNvPr id="5" name="Chart 4">
          <a:extLst>
            <a:ext uri="{FF2B5EF4-FFF2-40B4-BE49-F238E27FC236}">
              <a16:creationId xmlns:a16="http://schemas.microsoft.com/office/drawing/2014/main" id="{FAF44718-9C2D-40D2-B688-F95FCE025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472180</xdr:colOff>
      <xdr:row>25</xdr:row>
      <xdr:rowOff>178143</xdr:rowOff>
    </xdr:from>
    <xdr:to>
      <xdr:col>17</xdr:col>
      <xdr:colOff>169285</xdr:colOff>
      <xdr:row>41</xdr:row>
      <xdr:rowOff>31539</xdr:rowOff>
    </xdr:to>
    <xdr:graphicFrame macro="">
      <xdr:nvGraphicFramePr>
        <xdr:cNvPr id="6" name="Chart 5">
          <a:extLst>
            <a:ext uri="{FF2B5EF4-FFF2-40B4-BE49-F238E27FC236}">
              <a16:creationId xmlns:a16="http://schemas.microsoft.com/office/drawing/2014/main" id="{9137CA79-7672-44B5-920F-96305BE93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2471</xdr:colOff>
      <xdr:row>9</xdr:row>
      <xdr:rowOff>182856</xdr:rowOff>
    </xdr:from>
    <xdr:to>
      <xdr:col>26</xdr:col>
      <xdr:colOff>317336</xdr:colOff>
      <xdr:row>25</xdr:row>
      <xdr:rowOff>36251</xdr:rowOff>
    </xdr:to>
    <xdr:graphicFrame macro="">
      <xdr:nvGraphicFramePr>
        <xdr:cNvPr id="10" name="Chart 9">
          <a:extLst>
            <a:ext uri="{FF2B5EF4-FFF2-40B4-BE49-F238E27FC236}">
              <a16:creationId xmlns:a16="http://schemas.microsoft.com/office/drawing/2014/main" id="{B9F877E4-02BA-4795-9EE8-00A8EC044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510490</xdr:colOff>
      <xdr:row>27</xdr:row>
      <xdr:rowOff>87156</xdr:rowOff>
    </xdr:from>
    <xdr:to>
      <xdr:col>26</xdr:col>
      <xdr:colOff>255341</xdr:colOff>
      <xdr:row>42</xdr:row>
      <xdr:rowOff>143817</xdr:rowOff>
    </xdr:to>
    <xdr:graphicFrame macro="">
      <xdr:nvGraphicFramePr>
        <xdr:cNvPr id="12" name="Chart 11">
          <a:extLst>
            <a:ext uri="{FF2B5EF4-FFF2-40B4-BE49-F238E27FC236}">
              <a16:creationId xmlns:a16="http://schemas.microsoft.com/office/drawing/2014/main" id="{B875F20A-FC4A-4491-BE6C-20B3BE4C1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222701</xdr:colOff>
      <xdr:row>2</xdr:row>
      <xdr:rowOff>65350</xdr:rowOff>
    </xdr:from>
    <xdr:to>
      <xdr:col>3</xdr:col>
      <xdr:colOff>236569</xdr:colOff>
      <xdr:row>12</xdr:row>
      <xdr:rowOff>112059</xdr:rowOff>
    </xdr:to>
    <mc:AlternateContent xmlns:mc="http://schemas.openxmlformats.org/markup-compatibility/2006" xmlns:a14="http://schemas.microsoft.com/office/drawing/2010/main">
      <mc:Choice Requires="a14">
        <xdr:graphicFrame macro="">
          <xdr:nvGraphicFramePr>
            <xdr:cNvPr id="13" name="primary_skill">
              <a:extLst>
                <a:ext uri="{FF2B5EF4-FFF2-40B4-BE49-F238E27FC236}">
                  <a16:creationId xmlns:a16="http://schemas.microsoft.com/office/drawing/2014/main" id="{064CBA52-796F-551D-8E21-D082E7845708}"/>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222701" y="444122"/>
              <a:ext cx="1852026" cy="1940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403131</xdr:colOff>
      <xdr:row>2</xdr:row>
      <xdr:rowOff>55701</xdr:rowOff>
    </xdr:from>
    <xdr:to>
      <xdr:col>6</xdr:col>
      <xdr:colOff>391863</xdr:colOff>
      <xdr:row>12</xdr:row>
      <xdr:rowOff>89122</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02421B61-FA92-4807-135E-F3EC559644D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241289" y="434473"/>
              <a:ext cx="1826890" cy="1927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cuments\Kaggle%20Excel%20work.xlsx" TargetMode="External"/><Relationship Id="rId1" Type="http://schemas.openxmlformats.org/officeDocument/2006/relationships/externalLinkPath" Target="Kaggle%20Excel%20work.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esktop/workbook.xlsx" TargetMode="External"/><Relationship Id="rId2" Type="http://schemas.openxmlformats.org/officeDocument/2006/relationships/externalLinkPath" Target="file:///C:\Users\User\Desktop\workbook.xlsx" TargetMode="External"/><Relationship Id="rId1" Type="http://schemas.openxmlformats.org/officeDocument/2006/relationships/externalLinkPath" Target="/Users/User/Desktop/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W2" t="str">
            <v>f</v>
          </cell>
          <cell r="AD2" t="str">
            <v xml:space="preserve"> Nicole Kidd</v>
          </cell>
        </row>
        <row r="3">
          <cell r="W3" t="str">
            <v>FEMALE</v>
          </cell>
          <cell r="AD3" t="str">
            <v>Vanessa Garcia</v>
          </cell>
        </row>
        <row r="4">
          <cell r="W4" t="str">
            <v>male</v>
          </cell>
          <cell r="AD4" t="str">
            <v>Juan Nelson</v>
          </cell>
        </row>
        <row r="5">
          <cell r="W5" t="str">
            <v>F</v>
          </cell>
          <cell r="AD5" t="str">
            <v>Amanda Spencer</v>
          </cell>
        </row>
        <row r="6">
          <cell r="W6" t="str">
            <v>female</v>
          </cell>
          <cell r="AD6" t="str">
            <v>Lynn Curtis DDS</v>
          </cell>
        </row>
        <row r="7">
          <cell r="W7" t="str">
            <v>female</v>
          </cell>
          <cell r="AD7" t="str">
            <v>Lisa Johnson</v>
          </cell>
        </row>
        <row r="8">
          <cell r="W8" t="str">
            <v>m</v>
          </cell>
          <cell r="AD8" t="str">
            <v>Eric Myers</v>
          </cell>
        </row>
        <row r="9">
          <cell r="W9" t="str">
            <v>male</v>
          </cell>
          <cell r="AD9" t="str">
            <v>Ricky Graham</v>
          </cell>
        </row>
        <row r="10">
          <cell r="W10" t="str">
            <v>male</v>
          </cell>
          <cell r="AD10" t="str">
            <v>Sean Martin</v>
          </cell>
        </row>
        <row r="11">
          <cell r="W11" t="str">
            <v>MALE</v>
          </cell>
          <cell r="AD11" t="str">
            <v>Matthew Lloyd</v>
          </cell>
        </row>
        <row r="12">
          <cell r="W12" t="str">
            <v>m</v>
          </cell>
          <cell r="AD12" t="str">
            <v>Gavin Randall</v>
          </cell>
        </row>
        <row r="13">
          <cell r="W13" t="str">
            <v>FEMALE</v>
          </cell>
          <cell r="AD13" t="str">
            <v>Michelle Curtis</v>
          </cell>
        </row>
        <row r="14">
          <cell r="W14" t="str">
            <v>Female</v>
          </cell>
          <cell r="AD14" t="str">
            <v>Alice Schneider</v>
          </cell>
        </row>
        <row r="15">
          <cell r="W15" t="str">
            <v>MALE</v>
          </cell>
          <cell r="AD15" t="str">
            <v>Phillip Shelton</v>
          </cell>
        </row>
        <row r="16">
          <cell r="W16" t="str">
            <v>MALE</v>
          </cell>
          <cell r="AD16" t="str">
            <v>Edward Ferguson</v>
          </cell>
        </row>
        <row r="17">
          <cell r="W17" t="str">
            <v>m</v>
          </cell>
          <cell r="AD17" t="str">
            <v>Wyatt Stout</v>
          </cell>
        </row>
        <row r="18">
          <cell r="W18" t="str">
            <v>Female</v>
          </cell>
          <cell r="AD18" t="str">
            <v>Laura Johnson</v>
          </cell>
        </row>
        <row r="19">
          <cell r="W19" t="str">
            <v>M</v>
          </cell>
          <cell r="AD19" t="str">
            <v>Scott Burns</v>
          </cell>
        </row>
        <row r="20">
          <cell r="W20" t="str">
            <v>Male</v>
          </cell>
          <cell r="AD20" t="str">
            <v>Tyler Aguirre</v>
          </cell>
        </row>
        <row r="21">
          <cell r="W21" t="str">
            <v>Male</v>
          </cell>
          <cell r="AD21" t="str">
            <v>Matthew Lawson</v>
          </cell>
        </row>
        <row r="22">
          <cell r="W22" t="str">
            <v>Male</v>
          </cell>
          <cell r="AD22" t="str">
            <v>James Cherry</v>
          </cell>
        </row>
        <row r="23">
          <cell r="W23" t="str">
            <v>m</v>
          </cell>
          <cell r="AD23" t="str">
            <v>Samuel Sanford</v>
          </cell>
        </row>
        <row r="24">
          <cell r="W24" t="str">
            <v>m</v>
          </cell>
          <cell r="AD24" t="str">
            <v>Cesar Greene</v>
          </cell>
        </row>
        <row r="25">
          <cell r="W25" t="str">
            <v>female</v>
          </cell>
          <cell r="AD25" t="str">
            <v>Melanie Carter</v>
          </cell>
        </row>
        <row r="26">
          <cell r="W26" t="str">
            <v>f</v>
          </cell>
          <cell r="AD26" t="str">
            <v>Jennifer Martin</v>
          </cell>
        </row>
        <row r="27">
          <cell r="W27" t="str">
            <v>FEMALE</v>
          </cell>
          <cell r="AD27" t="str">
            <v>Anna Mccann</v>
          </cell>
        </row>
        <row r="28">
          <cell r="W28" t="str">
            <v>female</v>
          </cell>
          <cell r="AD28" t="str">
            <v>Marissa Bass</v>
          </cell>
        </row>
        <row r="29">
          <cell r="W29" t="str">
            <v>Female</v>
          </cell>
          <cell r="AD29" t="str">
            <v>Alexis Day</v>
          </cell>
        </row>
        <row r="30">
          <cell r="W30" t="str">
            <v>female</v>
          </cell>
          <cell r="AD30" t="str">
            <v>Megan Jones</v>
          </cell>
        </row>
        <row r="31">
          <cell r="W31" t="str">
            <v>FEMALE</v>
          </cell>
          <cell r="AD31" t="str">
            <v>Lori Smith</v>
          </cell>
        </row>
        <row r="32">
          <cell r="W32" t="str">
            <v>Male</v>
          </cell>
          <cell r="AD32" t="str">
            <v>Eric Carpenter</v>
          </cell>
        </row>
        <row r="33">
          <cell r="W33" t="str">
            <v>Male</v>
          </cell>
          <cell r="AD33" t="str">
            <v>Timothy Daniels</v>
          </cell>
        </row>
        <row r="34">
          <cell r="W34" t="str">
            <v>M</v>
          </cell>
          <cell r="AD34" t="str">
            <v>Robert Nelson</v>
          </cell>
        </row>
        <row r="35">
          <cell r="W35" t="str">
            <v>male</v>
          </cell>
          <cell r="AD35" t="str">
            <v>Michael Anderson</v>
          </cell>
        </row>
        <row r="36">
          <cell r="W36" t="str">
            <v>FEMALE</v>
          </cell>
          <cell r="AD36" t="str">
            <v>Jessica Snyder</v>
          </cell>
        </row>
        <row r="37">
          <cell r="W37" t="str">
            <v>female</v>
          </cell>
          <cell r="AD37" t="str">
            <v>Emily Daniels</v>
          </cell>
        </row>
        <row r="38">
          <cell r="W38" t="str">
            <v>f</v>
          </cell>
          <cell r="AD38" t="str">
            <v>Jamie Ramirez</v>
          </cell>
        </row>
        <row r="39">
          <cell r="W39" t="str">
            <v>F</v>
          </cell>
          <cell r="AD39" t="str">
            <v>Amy Harrison</v>
          </cell>
        </row>
        <row r="40">
          <cell r="W40" t="str">
            <v>F</v>
          </cell>
          <cell r="AD40" t="str">
            <v>Melinda White</v>
          </cell>
        </row>
        <row r="41">
          <cell r="W41" t="str">
            <v>Male</v>
          </cell>
          <cell r="AD41" t="str">
            <v>James Hernandez</v>
          </cell>
        </row>
        <row r="42">
          <cell r="W42" t="str">
            <v>Female</v>
          </cell>
          <cell r="AD42" t="str">
            <v>Angelica Rogers</v>
          </cell>
        </row>
        <row r="43">
          <cell r="W43" t="str">
            <v>Female</v>
          </cell>
          <cell r="AD43" t="str">
            <v>Savannah Williams</v>
          </cell>
        </row>
        <row r="44">
          <cell r="W44" t="str">
            <v>Female</v>
          </cell>
          <cell r="AD44" t="str">
            <v>Kaitlyn Schmidt</v>
          </cell>
        </row>
        <row r="45">
          <cell r="W45" t="str">
            <v>male</v>
          </cell>
          <cell r="AD45" t="str">
            <v>Jason Singh</v>
          </cell>
        </row>
        <row r="46">
          <cell r="W46" t="str">
            <v>Female</v>
          </cell>
          <cell r="AD46" t="str">
            <v>Michelle Ramirez</v>
          </cell>
        </row>
        <row r="47">
          <cell r="W47" t="str">
            <v>male</v>
          </cell>
          <cell r="AD47" t="str">
            <v>James Brown</v>
          </cell>
        </row>
        <row r="48">
          <cell r="W48" t="str">
            <v>Female</v>
          </cell>
          <cell r="AD48" t="str">
            <v>Samantha Simmons</v>
          </cell>
        </row>
        <row r="49">
          <cell r="W49" t="str">
            <v>male</v>
          </cell>
          <cell r="AD49" t="str">
            <v>Chase Mason</v>
          </cell>
        </row>
        <row r="50">
          <cell r="W50" t="str">
            <v>F</v>
          </cell>
          <cell r="AD50" t="str">
            <v>Dominique Ward</v>
          </cell>
        </row>
        <row r="51">
          <cell r="W51" t="str">
            <v>m</v>
          </cell>
          <cell r="AD51" t="str">
            <v>Lance Griffin</v>
          </cell>
        </row>
        <row r="52">
          <cell r="W52" t="str">
            <v>FEMALE</v>
          </cell>
          <cell r="AD52" t="str">
            <v>Julie Burgess</v>
          </cell>
        </row>
        <row r="53">
          <cell r="W53" t="str">
            <v>male</v>
          </cell>
          <cell r="AD53" t="str">
            <v>Don Scott</v>
          </cell>
        </row>
        <row r="54">
          <cell r="W54" t="str">
            <v>Male</v>
          </cell>
          <cell r="AD54" t="str">
            <v>Kyle Atkinson</v>
          </cell>
        </row>
        <row r="55">
          <cell r="W55" t="str">
            <v>m</v>
          </cell>
          <cell r="AD55" t="str">
            <v>Jimmy Hogan</v>
          </cell>
        </row>
        <row r="56">
          <cell r="W56" t="str">
            <v>f</v>
          </cell>
          <cell r="AD56" t="str">
            <v>Jennifer Mcintyre</v>
          </cell>
        </row>
        <row r="57">
          <cell r="W57" t="str">
            <v>m</v>
          </cell>
          <cell r="AD57" t="str">
            <v>Larry Simpson</v>
          </cell>
        </row>
        <row r="58">
          <cell r="W58" t="str">
            <v>f</v>
          </cell>
          <cell r="AD58" t="str">
            <v>Laura Price</v>
          </cell>
        </row>
        <row r="59">
          <cell r="W59" t="str">
            <v>Male</v>
          </cell>
          <cell r="AD59" t="str">
            <v>Mark Wright</v>
          </cell>
        </row>
        <row r="60">
          <cell r="W60" t="str">
            <v>FEMALE</v>
          </cell>
          <cell r="AD60" t="str">
            <v>Samantha Mcdaniel</v>
          </cell>
        </row>
        <row r="61">
          <cell r="W61" t="str">
            <v>Female</v>
          </cell>
          <cell r="AD61" t="str">
            <v>Barbara Foster</v>
          </cell>
        </row>
        <row r="62">
          <cell r="W62" t="str">
            <v>F</v>
          </cell>
          <cell r="AD62" t="str">
            <v>Courtney Tran</v>
          </cell>
        </row>
        <row r="63">
          <cell r="W63" t="str">
            <v>Male</v>
          </cell>
          <cell r="AD63" t="str">
            <v>Eddie Todd</v>
          </cell>
        </row>
        <row r="64">
          <cell r="W64" t="str">
            <v>Female</v>
          </cell>
          <cell r="AD64" t="str">
            <v>Christine Johnson</v>
          </cell>
        </row>
        <row r="65">
          <cell r="W65" t="str">
            <v>f</v>
          </cell>
          <cell r="AD65" t="str">
            <v>Leah Phelps</v>
          </cell>
        </row>
        <row r="66">
          <cell r="W66" t="str">
            <v>F</v>
          </cell>
          <cell r="AD66" t="str">
            <v>Rebekah Williams</v>
          </cell>
        </row>
        <row r="67">
          <cell r="W67" t="str">
            <v>FEMALE</v>
          </cell>
          <cell r="AD67" t="str">
            <v>Crystal Wilson</v>
          </cell>
        </row>
        <row r="68">
          <cell r="W68" t="str">
            <v>Female</v>
          </cell>
          <cell r="AD68" t="str">
            <v>Ashley Cordova</v>
          </cell>
        </row>
        <row r="69">
          <cell r="W69" t="str">
            <v>FEMALE</v>
          </cell>
          <cell r="AD69" t="str">
            <v>Vicki Kelly</v>
          </cell>
        </row>
        <row r="70">
          <cell r="W70" t="str">
            <v>m</v>
          </cell>
          <cell r="AD70" t="str">
            <v>Corey Warren</v>
          </cell>
        </row>
        <row r="71">
          <cell r="W71" t="str">
            <v>FEMALE</v>
          </cell>
          <cell r="AD71" t="str">
            <v>Gina Thompson</v>
          </cell>
        </row>
        <row r="72">
          <cell r="W72" t="str">
            <v>f</v>
          </cell>
          <cell r="AD72" t="str">
            <v>Yvonne Berg</v>
          </cell>
        </row>
        <row r="73">
          <cell r="W73" t="str">
            <v>M</v>
          </cell>
          <cell r="AD73" t="str">
            <v>Thomas Miller</v>
          </cell>
        </row>
        <row r="74">
          <cell r="W74" t="str">
            <v>MALE</v>
          </cell>
          <cell r="AD74" t="str">
            <v>Nicholas Burton</v>
          </cell>
        </row>
        <row r="75">
          <cell r="W75" t="str">
            <v>Male</v>
          </cell>
          <cell r="AD75" t="str">
            <v>Jorge Riley</v>
          </cell>
        </row>
        <row r="76">
          <cell r="W76" t="str">
            <v>M</v>
          </cell>
          <cell r="AD76" t="str">
            <v>Melvin Harris</v>
          </cell>
        </row>
        <row r="77">
          <cell r="W77" t="str">
            <v>Male</v>
          </cell>
          <cell r="AD77" t="str">
            <v>Jeremy Meyer</v>
          </cell>
        </row>
        <row r="78">
          <cell r="W78" t="str">
            <v>male</v>
          </cell>
          <cell r="AD78" t="str">
            <v>Timothy Lee</v>
          </cell>
        </row>
        <row r="79">
          <cell r="W79" t="str">
            <v>F</v>
          </cell>
          <cell r="AD79" t="str">
            <v>Diana Bautista</v>
          </cell>
        </row>
        <row r="80">
          <cell r="W80" t="str">
            <v>f</v>
          </cell>
          <cell r="AD80" t="str">
            <v>Leslie Rodriguez</v>
          </cell>
        </row>
        <row r="81">
          <cell r="W81" t="str">
            <v>MALE</v>
          </cell>
          <cell r="AD81" t="str">
            <v>Noah Wiggins</v>
          </cell>
        </row>
        <row r="82">
          <cell r="W82" t="str">
            <v>Female</v>
          </cell>
          <cell r="AD82" t="str">
            <v>Bridget Williams</v>
          </cell>
        </row>
        <row r="83">
          <cell r="W83" t="str">
            <v>f</v>
          </cell>
          <cell r="AD83" t="str">
            <v>Veronica Baker</v>
          </cell>
        </row>
        <row r="84">
          <cell r="W84" t="str">
            <v>Male</v>
          </cell>
          <cell r="AD84" t="str">
            <v>Andrew Avila</v>
          </cell>
        </row>
        <row r="85">
          <cell r="W85" t="str">
            <v>male</v>
          </cell>
          <cell r="AD85" t="str">
            <v>Michael Roberson</v>
          </cell>
        </row>
        <row r="86">
          <cell r="W86" t="str">
            <v>Male</v>
          </cell>
          <cell r="AD86" t="str">
            <v>Austin Jenkins</v>
          </cell>
        </row>
        <row r="87">
          <cell r="W87" t="str">
            <v>female</v>
          </cell>
          <cell r="AD87" t="str">
            <v>Brenda Green</v>
          </cell>
        </row>
        <row r="88">
          <cell r="W88" t="str">
            <v>M</v>
          </cell>
          <cell r="AD88" t="str">
            <v>Samuel Pierce</v>
          </cell>
        </row>
        <row r="89">
          <cell r="W89" t="str">
            <v>f</v>
          </cell>
          <cell r="AD89" t="str">
            <v>Briana Smith</v>
          </cell>
        </row>
        <row r="90">
          <cell r="W90" t="str">
            <v>Male</v>
          </cell>
          <cell r="AD90" t="str">
            <v>Ronald Barrett</v>
          </cell>
        </row>
        <row r="91">
          <cell r="W91" t="str">
            <v>m</v>
          </cell>
          <cell r="AD91" t="str">
            <v>Matthew Smith</v>
          </cell>
        </row>
        <row r="92">
          <cell r="W92" t="str">
            <v>male</v>
          </cell>
          <cell r="AD92" t="str">
            <v>Logan Huang</v>
          </cell>
        </row>
        <row r="93">
          <cell r="W93" t="str">
            <v>Female</v>
          </cell>
          <cell r="AD93" t="str">
            <v>Miranda Hutchinson</v>
          </cell>
        </row>
        <row r="94">
          <cell r="W94" t="str">
            <v>male</v>
          </cell>
          <cell r="AD94" t="str">
            <v>Paul Richardson</v>
          </cell>
        </row>
        <row r="95">
          <cell r="W95" t="str">
            <v>M</v>
          </cell>
          <cell r="AD95" t="str">
            <v>Jose Jones</v>
          </cell>
        </row>
        <row r="96">
          <cell r="W96" t="str">
            <v>f</v>
          </cell>
          <cell r="AD96" t="str">
            <v>Denise Smith</v>
          </cell>
        </row>
        <row r="97">
          <cell r="W97" t="str">
            <v>FEMALE</v>
          </cell>
          <cell r="AD97" t="str">
            <v>Shelby Mcmahon</v>
          </cell>
        </row>
        <row r="98">
          <cell r="W98" t="str">
            <v>f</v>
          </cell>
          <cell r="AD98" t="str">
            <v>Bethany Wright</v>
          </cell>
        </row>
        <row r="99">
          <cell r="W99" t="str">
            <v>Male</v>
          </cell>
          <cell r="AD99" t="str">
            <v>David Ortiz</v>
          </cell>
        </row>
        <row r="100">
          <cell r="W100" t="str">
            <v>MALE</v>
          </cell>
          <cell r="AD100" t="str">
            <v>Andrew Lynch</v>
          </cell>
        </row>
        <row r="101">
          <cell r="W101" t="str">
            <v>m</v>
          </cell>
          <cell r="AD101" t="str">
            <v>Kristopher Meyers</v>
          </cell>
        </row>
        <row r="102">
          <cell r="W102" t="str">
            <v>m</v>
          </cell>
          <cell r="AD102" t="str">
            <v>Thomas Roth</v>
          </cell>
        </row>
        <row r="103">
          <cell r="W103" t="str">
            <v>f</v>
          </cell>
          <cell r="AD103" t="str">
            <v>Vicki Brown</v>
          </cell>
        </row>
        <row r="104">
          <cell r="W104" t="str">
            <v>f</v>
          </cell>
          <cell r="AD104" t="str">
            <v>Stacy Sutton</v>
          </cell>
        </row>
        <row r="105">
          <cell r="W105" t="str">
            <v>f</v>
          </cell>
          <cell r="AD105" t="str">
            <v>Kimberly Holland</v>
          </cell>
        </row>
        <row r="106">
          <cell r="W106" t="str">
            <v>MALE</v>
          </cell>
          <cell r="AD106" t="str">
            <v>Travis Richardson</v>
          </cell>
        </row>
        <row r="107">
          <cell r="W107" t="str">
            <v>FEMALE</v>
          </cell>
          <cell r="AD107" t="str">
            <v>Jasmin Ho</v>
          </cell>
        </row>
        <row r="108">
          <cell r="W108" t="str">
            <v>m</v>
          </cell>
          <cell r="AD108" t="str">
            <v>Mark Paul</v>
          </cell>
        </row>
        <row r="109">
          <cell r="W109" t="str">
            <v>F</v>
          </cell>
          <cell r="AD109" t="str">
            <v>Jennifer Lewis</v>
          </cell>
        </row>
        <row r="110">
          <cell r="W110" t="str">
            <v>F</v>
          </cell>
          <cell r="AD110" t="str">
            <v>Elizabeth Lester</v>
          </cell>
        </row>
        <row r="111">
          <cell r="W111" t="str">
            <v>FEMALE</v>
          </cell>
          <cell r="AD111" t="str">
            <v>Kimberly Griffin</v>
          </cell>
        </row>
        <row r="112">
          <cell r="W112" t="str">
            <v>MALE</v>
          </cell>
          <cell r="AD112" t="str">
            <v>Tyler Warner</v>
          </cell>
        </row>
        <row r="113">
          <cell r="W113" t="str">
            <v>FEMALE</v>
          </cell>
          <cell r="AD113" t="str">
            <v>Jane Cox</v>
          </cell>
        </row>
        <row r="114">
          <cell r="W114" t="str">
            <v>f</v>
          </cell>
          <cell r="AD114" t="str">
            <v>Leah Williams</v>
          </cell>
        </row>
        <row r="115">
          <cell r="W115" t="str">
            <v>male</v>
          </cell>
          <cell r="AD115" t="str">
            <v>Kevin Wong</v>
          </cell>
        </row>
        <row r="116">
          <cell r="W116" t="str">
            <v>Male</v>
          </cell>
          <cell r="AD116" t="str">
            <v>Robert Andrews</v>
          </cell>
        </row>
        <row r="117">
          <cell r="W117" t="str">
            <v>female</v>
          </cell>
          <cell r="AD117" t="str">
            <v>Jessica Torres</v>
          </cell>
        </row>
        <row r="118">
          <cell r="W118" t="str">
            <v>Female</v>
          </cell>
          <cell r="AD118" t="str">
            <v>Teresa Kim</v>
          </cell>
        </row>
        <row r="119">
          <cell r="W119" t="str">
            <v>MALE</v>
          </cell>
          <cell r="AD119" t="str">
            <v>Jon Morgan</v>
          </cell>
        </row>
        <row r="120">
          <cell r="W120" t="str">
            <v>F</v>
          </cell>
          <cell r="AD120" t="str">
            <v>Gloria Chaney</v>
          </cell>
        </row>
        <row r="121">
          <cell r="W121" t="str">
            <v>male</v>
          </cell>
          <cell r="AD121" t="str">
            <v>Jesse Campbell</v>
          </cell>
        </row>
        <row r="122">
          <cell r="W122" t="str">
            <v>female</v>
          </cell>
          <cell r="AD122" t="str">
            <v>Allison Tucker MD</v>
          </cell>
        </row>
        <row r="123">
          <cell r="W123" t="str">
            <v>Female</v>
          </cell>
          <cell r="AD123" t="str">
            <v>Candice Petersen</v>
          </cell>
        </row>
        <row r="124">
          <cell r="W124" t="str">
            <v>MALE</v>
          </cell>
          <cell r="AD124" t="str">
            <v>Christopher Nichols</v>
          </cell>
        </row>
        <row r="125">
          <cell r="W125" t="str">
            <v>f</v>
          </cell>
          <cell r="AD125" t="str">
            <v>Debra Garcia</v>
          </cell>
        </row>
        <row r="126">
          <cell r="W126" t="str">
            <v>male</v>
          </cell>
          <cell r="AD126" t="str">
            <v>Andrew Fuentes</v>
          </cell>
        </row>
        <row r="127">
          <cell r="W127" t="str">
            <v>Male</v>
          </cell>
          <cell r="AD127" t="str">
            <v>Jason Carter</v>
          </cell>
        </row>
        <row r="128">
          <cell r="W128" t="str">
            <v>male</v>
          </cell>
          <cell r="AD128" t="str">
            <v>Austin Romero</v>
          </cell>
        </row>
        <row r="129">
          <cell r="W129" t="str">
            <v>male</v>
          </cell>
          <cell r="AD129" t="str">
            <v>Clayton Burns</v>
          </cell>
        </row>
        <row r="130">
          <cell r="W130" t="str">
            <v>m</v>
          </cell>
          <cell r="AD130" t="str">
            <v>Jonathan Clark</v>
          </cell>
        </row>
        <row r="131">
          <cell r="W131" t="str">
            <v>Male</v>
          </cell>
          <cell r="AD131" t="str">
            <v>Alexander Griffin</v>
          </cell>
        </row>
        <row r="132">
          <cell r="W132" t="str">
            <v>f</v>
          </cell>
          <cell r="AD132" t="str">
            <v>Shelly Whitehead</v>
          </cell>
        </row>
        <row r="133">
          <cell r="W133" t="str">
            <v>FEMALE</v>
          </cell>
          <cell r="AD133" t="str">
            <v>Kaitlyn Davis</v>
          </cell>
        </row>
        <row r="134">
          <cell r="W134" t="str">
            <v>MALE</v>
          </cell>
          <cell r="AD134" t="str">
            <v>Christopher Jones</v>
          </cell>
        </row>
        <row r="135">
          <cell r="W135" t="str">
            <v>FEMALE</v>
          </cell>
          <cell r="AD135" t="str">
            <v>Cindy Jacobs</v>
          </cell>
        </row>
        <row r="136">
          <cell r="W136" t="str">
            <v>Female</v>
          </cell>
          <cell r="AD136" t="str">
            <v>Penny Day</v>
          </cell>
        </row>
        <row r="137">
          <cell r="W137" t="str">
            <v>MALE</v>
          </cell>
          <cell r="AD137" t="str">
            <v>Thomas Ingram</v>
          </cell>
        </row>
        <row r="138">
          <cell r="W138" t="str">
            <v>female</v>
          </cell>
          <cell r="AD138" t="str">
            <v>Donna Hansen</v>
          </cell>
        </row>
        <row r="139">
          <cell r="W139" t="str">
            <v>F</v>
          </cell>
          <cell r="AD139" t="str">
            <v>Donna Bailey</v>
          </cell>
        </row>
        <row r="140">
          <cell r="W140" t="str">
            <v>male</v>
          </cell>
          <cell r="AD140" t="str">
            <v>Joshua Armstrong</v>
          </cell>
        </row>
        <row r="141">
          <cell r="W141" t="str">
            <v>m</v>
          </cell>
          <cell r="AD141" t="str">
            <v>Jonathan Garza</v>
          </cell>
        </row>
        <row r="142">
          <cell r="W142" t="str">
            <v>m</v>
          </cell>
          <cell r="AD142" t="str">
            <v>Charles Jones</v>
          </cell>
        </row>
        <row r="143">
          <cell r="W143" t="str">
            <v>female</v>
          </cell>
          <cell r="AD143" t="str">
            <v>Lindsey Miles</v>
          </cell>
        </row>
        <row r="144">
          <cell r="W144" t="str">
            <v>male</v>
          </cell>
          <cell r="AD144" t="str">
            <v>Eduardo Reed</v>
          </cell>
        </row>
        <row r="145">
          <cell r="W145" t="str">
            <v>m</v>
          </cell>
          <cell r="AD145" t="str">
            <v>Lee Fowler</v>
          </cell>
        </row>
        <row r="146">
          <cell r="W146" t="str">
            <v>m</v>
          </cell>
          <cell r="AD146" t="str">
            <v>Steven Jones</v>
          </cell>
        </row>
        <row r="147">
          <cell r="W147" t="str">
            <v>FEMALE</v>
          </cell>
          <cell r="AD147" t="str">
            <v>Ashley Chen</v>
          </cell>
        </row>
        <row r="148">
          <cell r="W148" t="str">
            <v>FEMALE</v>
          </cell>
          <cell r="AD148" t="str">
            <v>Erica Davis</v>
          </cell>
        </row>
        <row r="149">
          <cell r="W149" t="str">
            <v>M</v>
          </cell>
          <cell r="AD149" t="str">
            <v>Wayne Gonzales</v>
          </cell>
        </row>
        <row r="150">
          <cell r="W150" t="str">
            <v>male</v>
          </cell>
          <cell r="AD150" t="str">
            <v>Gary Ballard</v>
          </cell>
        </row>
        <row r="151">
          <cell r="W151" t="str">
            <v>FEMALE</v>
          </cell>
          <cell r="AD151" t="str">
            <v>Maria Mcguire</v>
          </cell>
        </row>
        <row r="152">
          <cell r="W152" t="str">
            <v>M</v>
          </cell>
          <cell r="AD152" t="str">
            <v>Matthew Richards</v>
          </cell>
        </row>
        <row r="153">
          <cell r="W153" t="str">
            <v>m</v>
          </cell>
          <cell r="AD153" t="str">
            <v>Patrick Malone</v>
          </cell>
        </row>
        <row r="154">
          <cell r="W154" t="str">
            <v>female</v>
          </cell>
          <cell r="AD154" t="str">
            <v>Cindy Martin</v>
          </cell>
        </row>
        <row r="155">
          <cell r="W155" t="str">
            <v>Female</v>
          </cell>
          <cell r="AD155" t="str">
            <v>Anne Edwards</v>
          </cell>
        </row>
        <row r="156">
          <cell r="W156" t="str">
            <v>Male</v>
          </cell>
          <cell r="AD156" t="str">
            <v>Mitchell Martin</v>
          </cell>
        </row>
        <row r="157">
          <cell r="W157" t="str">
            <v>M</v>
          </cell>
          <cell r="AD157" t="str">
            <v>Mitchell Patrick</v>
          </cell>
        </row>
        <row r="158">
          <cell r="W158" t="str">
            <v>FEMALE</v>
          </cell>
          <cell r="AD158" t="str">
            <v>Rebecca Lyons</v>
          </cell>
        </row>
        <row r="159">
          <cell r="W159" t="str">
            <v>Male</v>
          </cell>
          <cell r="AD159" t="str">
            <v>Christian Lopez</v>
          </cell>
        </row>
        <row r="160">
          <cell r="W160" t="str">
            <v>male</v>
          </cell>
          <cell r="AD160" t="str">
            <v>Nathan Blair</v>
          </cell>
        </row>
        <row r="161">
          <cell r="W161" t="str">
            <v>Female</v>
          </cell>
          <cell r="AD161" t="str">
            <v>Patricia Lopez</v>
          </cell>
        </row>
        <row r="162">
          <cell r="W162" t="str">
            <v>female</v>
          </cell>
          <cell r="AD162" t="str">
            <v>Michelle Wu</v>
          </cell>
        </row>
        <row r="163">
          <cell r="W163" t="str">
            <v>m</v>
          </cell>
          <cell r="AD163" t="str">
            <v>Donald Mitchell</v>
          </cell>
        </row>
        <row r="164">
          <cell r="W164" t="str">
            <v>M</v>
          </cell>
          <cell r="AD164" t="str">
            <v>Sean Gordon</v>
          </cell>
        </row>
        <row r="165">
          <cell r="W165" t="str">
            <v>Male</v>
          </cell>
          <cell r="AD165" t="str">
            <v>Gregory Clarke</v>
          </cell>
        </row>
        <row r="166">
          <cell r="W166" t="str">
            <v>MALE</v>
          </cell>
          <cell r="AD166" t="str">
            <v>Steven Whitney</v>
          </cell>
        </row>
        <row r="167">
          <cell r="W167" t="str">
            <v>female</v>
          </cell>
          <cell r="AD167" t="str">
            <v>Robin Acosta</v>
          </cell>
        </row>
        <row r="168">
          <cell r="W168" t="str">
            <v>m</v>
          </cell>
          <cell r="AD168" t="str">
            <v>John Smith</v>
          </cell>
        </row>
        <row r="169">
          <cell r="W169" t="str">
            <v>FEMALE</v>
          </cell>
          <cell r="AD169" t="str">
            <v>Susan Baker</v>
          </cell>
        </row>
        <row r="170">
          <cell r="W170" t="str">
            <v>MALE</v>
          </cell>
          <cell r="AD170" t="str">
            <v>Anthony Larsen</v>
          </cell>
        </row>
        <row r="171">
          <cell r="W171" t="str">
            <v>MALE</v>
          </cell>
          <cell r="AD171" t="str">
            <v>Nicholas Carpenter</v>
          </cell>
        </row>
        <row r="172">
          <cell r="W172" t="str">
            <v>F</v>
          </cell>
          <cell r="AD172" t="str">
            <v>Debra Salazar</v>
          </cell>
        </row>
        <row r="173">
          <cell r="W173" t="str">
            <v>Male</v>
          </cell>
          <cell r="AD173" t="str">
            <v>William Smith</v>
          </cell>
        </row>
        <row r="174">
          <cell r="W174" t="str">
            <v>f</v>
          </cell>
          <cell r="AD174" t="str">
            <v>Caroline Gross</v>
          </cell>
        </row>
        <row r="175">
          <cell r="W175" t="str">
            <v>M</v>
          </cell>
          <cell r="AD175" t="str">
            <v>Jeremy Sawyer</v>
          </cell>
        </row>
        <row r="176">
          <cell r="W176" t="str">
            <v>male</v>
          </cell>
          <cell r="AD176" t="str">
            <v>Eduardo Burns</v>
          </cell>
        </row>
        <row r="177">
          <cell r="W177" t="str">
            <v>female</v>
          </cell>
          <cell r="AD177" t="str">
            <v>Amanda Jones</v>
          </cell>
        </row>
        <row r="178">
          <cell r="W178" t="str">
            <v>MALE</v>
          </cell>
          <cell r="AD178" t="str">
            <v>Frederick Ware</v>
          </cell>
        </row>
        <row r="179">
          <cell r="W179" t="str">
            <v>MALE</v>
          </cell>
          <cell r="AD179" t="str">
            <v>Michael Black</v>
          </cell>
        </row>
        <row r="180">
          <cell r="W180" t="str">
            <v>FEMALE</v>
          </cell>
          <cell r="AD180" t="str">
            <v>Patricia Sanders</v>
          </cell>
        </row>
        <row r="181">
          <cell r="W181" t="str">
            <v>m</v>
          </cell>
          <cell r="AD181" t="str">
            <v>Marc Joseph</v>
          </cell>
        </row>
        <row r="182">
          <cell r="W182" t="str">
            <v>FEMALE</v>
          </cell>
          <cell r="AD182" t="str">
            <v>Vanessa White</v>
          </cell>
        </row>
        <row r="183">
          <cell r="W183" t="str">
            <v>F</v>
          </cell>
          <cell r="AD183" t="str">
            <v>Jennifer Garcia</v>
          </cell>
        </row>
        <row r="184">
          <cell r="W184" t="str">
            <v>MALE</v>
          </cell>
          <cell r="AD184" t="str">
            <v>Michael Zavala</v>
          </cell>
        </row>
        <row r="185">
          <cell r="W185" t="str">
            <v>female</v>
          </cell>
          <cell r="AD185" t="str">
            <v>Kimberly Williams</v>
          </cell>
        </row>
        <row r="186">
          <cell r="W186" t="str">
            <v>F</v>
          </cell>
          <cell r="AD186" t="str">
            <v>Elizabeth Jenkins</v>
          </cell>
        </row>
        <row r="187">
          <cell r="W187" t="str">
            <v>m</v>
          </cell>
          <cell r="AD187" t="str">
            <v>Brandon Ford</v>
          </cell>
        </row>
        <row r="188">
          <cell r="W188" t="str">
            <v>MALE</v>
          </cell>
          <cell r="AD188" t="str">
            <v>Justin House</v>
          </cell>
        </row>
        <row r="189">
          <cell r="W189" t="str">
            <v>male</v>
          </cell>
          <cell r="AD189" t="str">
            <v>Henry Mullen</v>
          </cell>
        </row>
        <row r="190">
          <cell r="W190" t="str">
            <v>MALE</v>
          </cell>
          <cell r="AD190" t="str">
            <v>Jesse Cochran</v>
          </cell>
        </row>
        <row r="191">
          <cell r="W191" t="str">
            <v>f</v>
          </cell>
          <cell r="AD191" t="str">
            <v>Melissa Rich</v>
          </cell>
        </row>
        <row r="192">
          <cell r="W192" t="str">
            <v>Male</v>
          </cell>
          <cell r="AD192" t="str">
            <v>Patrick Dunlap</v>
          </cell>
        </row>
        <row r="193">
          <cell r="W193" t="str">
            <v>M</v>
          </cell>
          <cell r="AD193" t="str">
            <v>Troy Carson</v>
          </cell>
        </row>
        <row r="194">
          <cell r="W194" t="str">
            <v>MALE</v>
          </cell>
          <cell r="AD194" t="str">
            <v>Matthew Smith</v>
          </cell>
        </row>
        <row r="195">
          <cell r="W195" t="str">
            <v>F</v>
          </cell>
          <cell r="AD195" t="str">
            <v>Jennifer Cherry</v>
          </cell>
        </row>
        <row r="196">
          <cell r="W196" t="str">
            <v>female</v>
          </cell>
          <cell r="AD196" t="str">
            <v>Brandi Tucker</v>
          </cell>
        </row>
        <row r="197">
          <cell r="W197" t="str">
            <v>m</v>
          </cell>
          <cell r="AD197" t="str">
            <v>Zachary Burke</v>
          </cell>
        </row>
        <row r="198">
          <cell r="W198" t="str">
            <v>m</v>
          </cell>
          <cell r="AD198" t="str">
            <v>Thomas Jones</v>
          </cell>
        </row>
        <row r="199">
          <cell r="W199" t="str">
            <v>Male</v>
          </cell>
          <cell r="AD199" t="str">
            <v>Brian Dunn</v>
          </cell>
        </row>
        <row r="200">
          <cell r="W200" t="str">
            <v>F</v>
          </cell>
          <cell r="AD200" t="str">
            <v>Shirley Strickland</v>
          </cell>
        </row>
        <row r="201">
          <cell r="W201" t="str">
            <v>female</v>
          </cell>
          <cell r="AD201" t="str">
            <v>Nicole Meyers</v>
          </cell>
        </row>
        <row r="202">
          <cell r="W202" t="str">
            <v>f</v>
          </cell>
          <cell r="AD202" t="str">
            <v>Jill Stephens</v>
          </cell>
        </row>
        <row r="203">
          <cell r="W203" t="str">
            <v>FEMALE</v>
          </cell>
          <cell r="AD203" t="str">
            <v>Heidi Miranda</v>
          </cell>
        </row>
        <row r="204">
          <cell r="W204" t="str">
            <v>m</v>
          </cell>
          <cell r="AD204" t="str">
            <v>Jesus Martinez</v>
          </cell>
        </row>
        <row r="205">
          <cell r="W205" t="str">
            <v>male</v>
          </cell>
          <cell r="AD205" t="str">
            <v>Adam Payne</v>
          </cell>
        </row>
        <row r="206">
          <cell r="W206" t="str">
            <v>m</v>
          </cell>
          <cell r="AD206" t="str">
            <v>Walter Williams</v>
          </cell>
        </row>
        <row r="207">
          <cell r="W207" t="str">
            <v>FEMALE</v>
          </cell>
          <cell r="AD207" t="str">
            <v>Shannon Farmer</v>
          </cell>
        </row>
        <row r="208">
          <cell r="W208" t="str">
            <v>m</v>
          </cell>
          <cell r="AD208" t="str">
            <v>Peter Reyes</v>
          </cell>
        </row>
        <row r="209">
          <cell r="W209" t="str">
            <v>f</v>
          </cell>
          <cell r="AD209" t="str">
            <v>Kristen Knight</v>
          </cell>
        </row>
        <row r="210">
          <cell r="W210" t="str">
            <v>male</v>
          </cell>
          <cell r="AD210" t="str">
            <v>William Moore</v>
          </cell>
        </row>
        <row r="211">
          <cell r="W211" t="str">
            <v>Female</v>
          </cell>
          <cell r="AD211" t="str">
            <v>Jennifer Rowe</v>
          </cell>
        </row>
        <row r="212">
          <cell r="W212" t="str">
            <v>F</v>
          </cell>
          <cell r="AD212" t="str">
            <v>Mikayla Henry</v>
          </cell>
        </row>
        <row r="213">
          <cell r="W213" t="str">
            <v>m</v>
          </cell>
          <cell r="AD213" t="str">
            <v>Jacob Kerr</v>
          </cell>
        </row>
        <row r="214">
          <cell r="W214" t="str">
            <v>male</v>
          </cell>
          <cell r="AD214" t="str">
            <v>Ryan Johnson</v>
          </cell>
        </row>
        <row r="215">
          <cell r="W215" t="str">
            <v>MALE</v>
          </cell>
          <cell r="AD215" t="str">
            <v>Michael Ruiz</v>
          </cell>
        </row>
        <row r="216">
          <cell r="W216" t="str">
            <v>female</v>
          </cell>
          <cell r="AD216" t="str">
            <v>Monica Roberts</v>
          </cell>
        </row>
        <row r="217">
          <cell r="W217" t="str">
            <v>m</v>
          </cell>
          <cell r="AD217" t="str">
            <v>Danny Brown</v>
          </cell>
        </row>
        <row r="218">
          <cell r="W218" t="str">
            <v>F</v>
          </cell>
          <cell r="AD218" t="str">
            <v>Karen Larsen</v>
          </cell>
        </row>
        <row r="219">
          <cell r="W219" t="str">
            <v>M</v>
          </cell>
          <cell r="AD219" t="str">
            <v>Robert Evans</v>
          </cell>
        </row>
        <row r="220">
          <cell r="W220" t="str">
            <v>M</v>
          </cell>
          <cell r="AD220" t="str">
            <v>Sean Poole</v>
          </cell>
        </row>
        <row r="221">
          <cell r="W221" t="str">
            <v>m</v>
          </cell>
          <cell r="AD221" t="str">
            <v>Richard Quinn</v>
          </cell>
        </row>
        <row r="222">
          <cell r="W222" t="str">
            <v>FEMALE</v>
          </cell>
          <cell r="AD222" t="str">
            <v>Jennifer Gonzalez</v>
          </cell>
        </row>
        <row r="223">
          <cell r="W223" t="str">
            <v>MALE</v>
          </cell>
          <cell r="AD223" t="str">
            <v>James Skinner</v>
          </cell>
        </row>
        <row r="224">
          <cell r="W224" t="str">
            <v>f</v>
          </cell>
          <cell r="AD224" t="str">
            <v>Michelle Hill</v>
          </cell>
        </row>
        <row r="225">
          <cell r="W225" t="str">
            <v>F</v>
          </cell>
          <cell r="AD225" t="str">
            <v>Jacqueline Williams</v>
          </cell>
        </row>
        <row r="226">
          <cell r="W226" t="str">
            <v>Male</v>
          </cell>
          <cell r="AD226" t="str">
            <v>Darrell Johnson</v>
          </cell>
        </row>
        <row r="227">
          <cell r="W227" t="str">
            <v>M</v>
          </cell>
          <cell r="AD227" t="str">
            <v>Ryan Crawford</v>
          </cell>
        </row>
        <row r="228">
          <cell r="W228" t="str">
            <v>f</v>
          </cell>
          <cell r="AD228" t="str">
            <v>Chelsea Barber</v>
          </cell>
        </row>
        <row r="229">
          <cell r="W229" t="str">
            <v>Female</v>
          </cell>
          <cell r="AD229" t="str">
            <v>Elaine Martinez</v>
          </cell>
        </row>
        <row r="230">
          <cell r="W230" t="str">
            <v>M</v>
          </cell>
          <cell r="AD230" t="str">
            <v>Joseph Kent</v>
          </cell>
        </row>
        <row r="231">
          <cell r="W231" t="str">
            <v>FEMALE</v>
          </cell>
          <cell r="AD231" t="str">
            <v>Megan Welch</v>
          </cell>
        </row>
        <row r="232">
          <cell r="W232" t="str">
            <v>male</v>
          </cell>
          <cell r="AD232" t="str">
            <v>Stephen Ramirez</v>
          </cell>
        </row>
        <row r="233">
          <cell r="W233" t="str">
            <v>f</v>
          </cell>
          <cell r="AD233" t="str">
            <v>Chloe Gray</v>
          </cell>
        </row>
        <row r="234">
          <cell r="W234" t="str">
            <v>m</v>
          </cell>
          <cell r="AD234" t="str">
            <v xml:space="preserve">Michael Williams </v>
          </cell>
        </row>
        <row r="235">
          <cell r="W235" t="str">
            <v>m</v>
          </cell>
          <cell r="AD235" t="str">
            <v>Matthew Martin</v>
          </cell>
        </row>
        <row r="236">
          <cell r="W236" t="str">
            <v>f</v>
          </cell>
          <cell r="AD236" t="str">
            <v>Julia Murphy</v>
          </cell>
        </row>
        <row r="237">
          <cell r="W237" t="str">
            <v>F</v>
          </cell>
          <cell r="AD237" t="str">
            <v>Anna Evans</v>
          </cell>
        </row>
        <row r="238">
          <cell r="W238" t="str">
            <v>F</v>
          </cell>
          <cell r="AD238" t="str">
            <v>Brenda Fleming</v>
          </cell>
        </row>
        <row r="239">
          <cell r="W239" t="str">
            <v>M</v>
          </cell>
          <cell r="AD239" t="str">
            <v>Daniel Harrington</v>
          </cell>
        </row>
        <row r="240">
          <cell r="W240" t="str">
            <v>Male</v>
          </cell>
          <cell r="AD240" t="str">
            <v>Daniel Barnett</v>
          </cell>
        </row>
        <row r="241">
          <cell r="W241" t="str">
            <v>M</v>
          </cell>
          <cell r="AD241" t="str">
            <v>Mark Cummings</v>
          </cell>
        </row>
        <row r="242">
          <cell r="W242" t="str">
            <v>M</v>
          </cell>
          <cell r="AD242" t="str">
            <v>Christopher Guerra</v>
          </cell>
        </row>
        <row r="243">
          <cell r="W243" t="str">
            <v>female</v>
          </cell>
          <cell r="AD243" t="str">
            <v>Sarah Ho</v>
          </cell>
        </row>
        <row r="244">
          <cell r="W244" t="str">
            <v>f</v>
          </cell>
          <cell r="AD244" t="str">
            <v>Veronica Thomas</v>
          </cell>
        </row>
        <row r="245">
          <cell r="W245" t="str">
            <v>MALE</v>
          </cell>
          <cell r="AD245" t="str">
            <v>Mitchell Watson</v>
          </cell>
        </row>
        <row r="246">
          <cell r="W246" t="str">
            <v>FEMALE</v>
          </cell>
          <cell r="AD246" t="str">
            <v>Monica Murphy</v>
          </cell>
        </row>
        <row r="247">
          <cell r="W247" t="str">
            <v>f</v>
          </cell>
          <cell r="AD247" t="str">
            <v>Kristen Williams</v>
          </cell>
        </row>
        <row r="248">
          <cell r="W248" t="str">
            <v>f</v>
          </cell>
          <cell r="AD248" t="str">
            <v>Nicole Wright</v>
          </cell>
        </row>
        <row r="249">
          <cell r="W249" t="str">
            <v>male</v>
          </cell>
          <cell r="AD249" t="str">
            <v>Andrew Ruiz</v>
          </cell>
        </row>
        <row r="250">
          <cell r="W250" t="str">
            <v>m</v>
          </cell>
          <cell r="AD250" t="str">
            <v>Zachary Jackson</v>
          </cell>
        </row>
        <row r="251">
          <cell r="W251" t="str">
            <v>f</v>
          </cell>
          <cell r="AD251" t="str">
            <v>Stephanie Carter</v>
          </cell>
        </row>
        <row r="252">
          <cell r="W252" t="str">
            <v>f</v>
          </cell>
          <cell r="AD252" t="str">
            <v>Amy Olson</v>
          </cell>
        </row>
        <row r="253">
          <cell r="W253" t="str">
            <v>M</v>
          </cell>
          <cell r="AD253" t="str">
            <v>Fred Stark</v>
          </cell>
        </row>
        <row r="254">
          <cell r="W254" t="str">
            <v>Male</v>
          </cell>
          <cell r="AD254" t="str">
            <v>Jacob Gill</v>
          </cell>
        </row>
        <row r="255">
          <cell r="W255" t="str">
            <v>Male</v>
          </cell>
          <cell r="AD255" t="str">
            <v>Anthony Nichols</v>
          </cell>
        </row>
        <row r="256">
          <cell r="W256" t="str">
            <v>m</v>
          </cell>
          <cell r="AD256" t="str">
            <v>William Knapp</v>
          </cell>
        </row>
        <row r="257">
          <cell r="W257" t="str">
            <v>F</v>
          </cell>
          <cell r="AD257" t="str">
            <v>Elizabeth Walker</v>
          </cell>
        </row>
        <row r="258">
          <cell r="W258" t="str">
            <v>F</v>
          </cell>
          <cell r="AD258" t="str">
            <v>Brenda Reeves</v>
          </cell>
        </row>
        <row r="259">
          <cell r="W259" t="str">
            <v>FEMALE</v>
          </cell>
          <cell r="AD259" t="str">
            <v>Carrie Little</v>
          </cell>
        </row>
        <row r="260">
          <cell r="W260" t="str">
            <v>male</v>
          </cell>
          <cell r="AD260" t="str">
            <v>Steven Jackson</v>
          </cell>
        </row>
        <row r="261">
          <cell r="W261" t="str">
            <v>Male</v>
          </cell>
          <cell r="AD261" t="str">
            <v>Mark Perry</v>
          </cell>
        </row>
        <row r="262">
          <cell r="W262" t="str">
            <v>Male</v>
          </cell>
          <cell r="AD262" t="str">
            <v>Cameron Spencer</v>
          </cell>
        </row>
        <row r="263">
          <cell r="W263" t="str">
            <v>Female</v>
          </cell>
          <cell r="AD263" t="str">
            <v>Jennifer Holmes</v>
          </cell>
        </row>
        <row r="264">
          <cell r="W264" t="str">
            <v>Male</v>
          </cell>
          <cell r="AD264" t="str">
            <v>Jacob Joseph</v>
          </cell>
        </row>
        <row r="265">
          <cell r="W265" t="str">
            <v>Male</v>
          </cell>
          <cell r="AD265" t="str">
            <v>Jeffery Tucker</v>
          </cell>
        </row>
        <row r="266">
          <cell r="W266" t="str">
            <v>Female</v>
          </cell>
          <cell r="AD266" t="str">
            <v>Jacqueline Drake</v>
          </cell>
        </row>
        <row r="267">
          <cell r="W267" t="str">
            <v>Male</v>
          </cell>
          <cell r="AD267" t="str">
            <v>Brian Bautista</v>
          </cell>
        </row>
        <row r="268">
          <cell r="W268" t="str">
            <v>MALE</v>
          </cell>
          <cell r="AD268" t="str">
            <v>Dakota Wells</v>
          </cell>
        </row>
        <row r="269">
          <cell r="W269" t="str">
            <v>F</v>
          </cell>
          <cell r="AD269" t="str">
            <v>Julie White</v>
          </cell>
        </row>
        <row r="270">
          <cell r="W270" t="str">
            <v>Female</v>
          </cell>
          <cell r="AD270" t="str">
            <v>Barbara Keith</v>
          </cell>
        </row>
        <row r="271">
          <cell r="W271" t="str">
            <v>Female</v>
          </cell>
          <cell r="AD271" t="str">
            <v>Heather Camacho</v>
          </cell>
        </row>
        <row r="272">
          <cell r="W272" t="str">
            <v>FEMALE</v>
          </cell>
          <cell r="AD272" t="str">
            <v>Melanie Harris</v>
          </cell>
        </row>
        <row r="273">
          <cell r="W273" t="str">
            <v>f</v>
          </cell>
          <cell r="AD273" t="str">
            <v>Jacqueline Peterson</v>
          </cell>
        </row>
        <row r="274">
          <cell r="W274" t="str">
            <v>f</v>
          </cell>
          <cell r="AD274" t="str">
            <v>Nancy Long</v>
          </cell>
        </row>
        <row r="275">
          <cell r="W275" t="str">
            <v>male</v>
          </cell>
          <cell r="AD275" t="str">
            <v>Juan Mitchell</v>
          </cell>
        </row>
        <row r="276">
          <cell r="W276" t="str">
            <v>Male</v>
          </cell>
          <cell r="AD276" t="str">
            <v>William Gaines</v>
          </cell>
        </row>
        <row r="277">
          <cell r="W277" t="str">
            <v>FEMALE</v>
          </cell>
          <cell r="AD277" t="str">
            <v>Haley Yates</v>
          </cell>
        </row>
        <row r="278">
          <cell r="W278" t="str">
            <v>MALE</v>
          </cell>
          <cell r="AD278" t="str">
            <v>Richard Mcguire</v>
          </cell>
        </row>
        <row r="279">
          <cell r="W279" t="str">
            <v>Female</v>
          </cell>
          <cell r="AD279" t="str">
            <v>Stephanie Fisher</v>
          </cell>
        </row>
        <row r="280">
          <cell r="W280" t="str">
            <v>male</v>
          </cell>
          <cell r="AD280" t="str">
            <v>Anthony Goodwin DDS</v>
          </cell>
        </row>
        <row r="281">
          <cell r="W281" t="str">
            <v>female</v>
          </cell>
          <cell r="AD281" t="str">
            <v>Meagan Walters</v>
          </cell>
        </row>
        <row r="282">
          <cell r="W282" t="str">
            <v>M</v>
          </cell>
          <cell r="AD282" t="str">
            <v>David Powell</v>
          </cell>
        </row>
        <row r="283">
          <cell r="W283" t="str">
            <v>f</v>
          </cell>
          <cell r="AD283" t="str">
            <v>Kelly Jones</v>
          </cell>
        </row>
        <row r="284">
          <cell r="W284" t="str">
            <v>m</v>
          </cell>
          <cell r="AD284" t="str">
            <v>Michael Aguilar</v>
          </cell>
        </row>
        <row r="285">
          <cell r="W285" t="str">
            <v>M</v>
          </cell>
          <cell r="AD285" t="str">
            <v>Alex Novak</v>
          </cell>
        </row>
        <row r="286">
          <cell r="W286" t="str">
            <v>female</v>
          </cell>
          <cell r="AD286" t="str">
            <v>Ann Contreras</v>
          </cell>
        </row>
        <row r="287">
          <cell r="W287" t="str">
            <v>f</v>
          </cell>
          <cell r="AD287" t="str">
            <v>Mary Reed</v>
          </cell>
        </row>
        <row r="288">
          <cell r="W288" t="str">
            <v>FEMALE</v>
          </cell>
          <cell r="AD288" t="str">
            <v>Lauren Ross</v>
          </cell>
        </row>
        <row r="289">
          <cell r="W289" t="str">
            <v>FEMALE</v>
          </cell>
          <cell r="AD289" t="str">
            <v>Candice Wise</v>
          </cell>
        </row>
        <row r="290">
          <cell r="W290" t="str">
            <v>FEMALE</v>
          </cell>
          <cell r="AD290" t="str">
            <v>Joyce Humphrey</v>
          </cell>
        </row>
        <row r="291">
          <cell r="W291" t="str">
            <v>male</v>
          </cell>
          <cell r="AD291" t="str">
            <v>James Carr</v>
          </cell>
        </row>
        <row r="292">
          <cell r="W292" t="str">
            <v>Male</v>
          </cell>
          <cell r="AD292" t="str">
            <v>Joseph Mendoza</v>
          </cell>
        </row>
        <row r="293">
          <cell r="W293" t="str">
            <v>Female</v>
          </cell>
          <cell r="AD293" t="str">
            <v>Cathy Baldwin</v>
          </cell>
        </row>
        <row r="294">
          <cell r="W294" t="str">
            <v>FEMALE</v>
          </cell>
          <cell r="AD294" t="str">
            <v>Christine Hart</v>
          </cell>
        </row>
        <row r="295">
          <cell r="W295" t="str">
            <v>Male</v>
          </cell>
          <cell r="AD295" t="str">
            <v>Mike Stanley</v>
          </cell>
        </row>
        <row r="296">
          <cell r="W296" t="str">
            <v>Male</v>
          </cell>
          <cell r="AD296" t="str">
            <v>Jeffrey Edwards</v>
          </cell>
        </row>
        <row r="297">
          <cell r="W297" t="str">
            <v>FEMALE</v>
          </cell>
          <cell r="AD297" t="str">
            <v>Amy Lee</v>
          </cell>
        </row>
        <row r="298">
          <cell r="W298" t="str">
            <v>MALE</v>
          </cell>
          <cell r="AD298" t="str">
            <v>Mark Thompson</v>
          </cell>
        </row>
        <row r="299">
          <cell r="W299" t="str">
            <v>M</v>
          </cell>
          <cell r="AD299" t="str">
            <v>Alex Wilson</v>
          </cell>
        </row>
        <row r="300">
          <cell r="W300" t="str">
            <v>female</v>
          </cell>
          <cell r="AD300" t="str">
            <v>Nancy Mendez</v>
          </cell>
        </row>
        <row r="301">
          <cell r="W301" t="str">
            <v>f</v>
          </cell>
          <cell r="AD301" t="str">
            <v>Beth Crane</v>
          </cell>
        </row>
        <row r="302">
          <cell r="W302" t="str">
            <v>MALE</v>
          </cell>
          <cell r="AD302" t="str">
            <v>Miguel Rogers</v>
          </cell>
        </row>
        <row r="303">
          <cell r="W303" t="str">
            <v>Male</v>
          </cell>
          <cell r="AD303" t="str">
            <v>Thomas Robles</v>
          </cell>
        </row>
        <row r="304">
          <cell r="W304" t="str">
            <v>Male</v>
          </cell>
          <cell r="AD304" t="str">
            <v>Joel Brown III</v>
          </cell>
        </row>
        <row r="305">
          <cell r="W305" t="str">
            <v>F</v>
          </cell>
          <cell r="AD305" t="str">
            <v>Olivia Schultz</v>
          </cell>
        </row>
        <row r="306">
          <cell r="W306" t="str">
            <v>Male</v>
          </cell>
          <cell r="AD306" t="str">
            <v>Clayton Pena</v>
          </cell>
        </row>
        <row r="307">
          <cell r="W307" t="str">
            <v>FEMALE</v>
          </cell>
          <cell r="AD307" t="str">
            <v>Ashley Salazar</v>
          </cell>
        </row>
        <row r="308">
          <cell r="W308" t="str">
            <v>male</v>
          </cell>
          <cell r="AD308" t="str">
            <v>Robert Lucas</v>
          </cell>
        </row>
        <row r="309">
          <cell r="W309" t="str">
            <v>M</v>
          </cell>
          <cell r="AD309" t="str">
            <v>David Cox</v>
          </cell>
        </row>
        <row r="310">
          <cell r="W310" t="str">
            <v>Male</v>
          </cell>
          <cell r="AD310" t="str">
            <v>Christian Campbell</v>
          </cell>
        </row>
        <row r="311">
          <cell r="W311" t="str">
            <v>F</v>
          </cell>
          <cell r="AD311" t="str">
            <v xml:space="preserve"> Angela Ward</v>
          </cell>
        </row>
        <row r="312">
          <cell r="W312" t="str">
            <v>male</v>
          </cell>
          <cell r="AD312" t="str">
            <v>Lucas Chen</v>
          </cell>
        </row>
        <row r="313">
          <cell r="W313" t="str">
            <v>m</v>
          </cell>
          <cell r="AD313" t="str">
            <v>Ruben Nelson</v>
          </cell>
        </row>
        <row r="314">
          <cell r="W314" t="str">
            <v>F</v>
          </cell>
          <cell r="AD314" t="str">
            <v>Brenda Briggs</v>
          </cell>
        </row>
        <row r="315">
          <cell r="W315" t="str">
            <v>m</v>
          </cell>
          <cell r="AD315" t="str">
            <v>Ronald Smith</v>
          </cell>
        </row>
        <row r="316">
          <cell r="W316" t="str">
            <v>M</v>
          </cell>
          <cell r="AD316" t="str">
            <v>Dakota Giles</v>
          </cell>
        </row>
        <row r="317">
          <cell r="W317" t="str">
            <v>FEMALE</v>
          </cell>
          <cell r="AD317" t="str">
            <v>Angela Castillo</v>
          </cell>
        </row>
        <row r="318">
          <cell r="W318" t="str">
            <v>M</v>
          </cell>
          <cell r="AD318" t="str">
            <v>Allen Lee</v>
          </cell>
        </row>
        <row r="319">
          <cell r="W319" t="str">
            <v>male</v>
          </cell>
          <cell r="AD319" t="str">
            <v>Michael Rogers</v>
          </cell>
        </row>
        <row r="320">
          <cell r="W320" t="str">
            <v>Female</v>
          </cell>
          <cell r="AD320" t="str">
            <v>Danielle Costa</v>
          </cell>
        </row>
        <row r="321">
          <cell r="W321" t="str">
            <v>M</v>
          </cell>
          <cell r="AD321" t="str">
            <v>William Nunez</v>
          </cell>
        </row>
        <row r="322">
          <cell r="W322" t="str">
            <v>m</v>
          </cell>
          <cell r="AD322" t="str">
            <v>Christopher Riggs</v>
          </cell>
        </row>
        <row r="323">
          <cell r="W323" t="str">
            <v>female</v>
          </cell>
          <cell r="AD323" t="str">
            <v>Kathryn Myers</v>
          </cell>
        </row>
        <row r="324">
          <cell r="W324" t="str">
            <v>M</v>
          </cell>
          <cell r="AD324" t="str">
            <v>Robert Walls</v>
          </cell>
        </row>
        <row r="325">
          <cell r="W325" t="str">
            <v>Male</v>
          </cell>
          <cell r="AD325" t="str">
            <v>Justin Johnson</v>
          </cell>
        </row>
        <row r="326">
          <cell r="W326" t="str">
            <v>FEMALE</v>
          </cell>
          <cell r="AD326" t="str">
            <v>Paula Stevens</v>
          </cell>
        </row>
        <row r="327">
          <cell r="W327" t="str">
            <v>FEMALE</v>
          </cell>
          <cell r="AD327" t="str">
            <v>Jennifer Allen</v>
          </cell>
        </row>
        <row r="328">
          <cell r="W328" t="str">
            <v>male</v>
          </cell>
          <cell r="AD328" t="str">
            <v>Mark Hudson</v>
          </cell>
        </row>
        <row r="329">
          <cell r="W329" t="str">
            <v>Female</v>
          </cell>
          <cell r="AD329" t="str">
            <v>Jessica Smith</v>
          </cell>
        </row>
        <row r="330">
          <cell r="W330" t="str">
            <v>male</v>
          </cell>
          <cell r="AD330" t="str">
            <v>Mike Dean</v>
          </cell>
        </row>
        <row r="331">
          <cell r="W331" t="str">
            <v>M</v>
          </cell>
          <cell r="AD331" t="str">
            <v>Jose Wilson</v>
          </cell>
        </row>
        <row r="332">
          <cell r="W332" t="str">
            <v>Female</v>
          </cell>
          <cell r="AD332" t="str">
            <v>Tammy Hill</v>
          </cell>
        </row>
        <row r="333">
          <cell r="W333" t="str">
            <v>MALE</v>
          </cell>
          <cell r="AD333" t="str">
            <v>Nathaniel Flores</v>
          </cell>
        </row>
        <row r="334">
          <cell r="W334" t="str">
            <v>M</v>
          </cell>
          <cell r="AD334" t="str">
            <v>Edwin Carter</v>
          </cell>
        </row>
        <row r="335">
          <cell r="W335" t="str">
            <v>FEMALE</v>
          </cell>
          <cell r="AD335" t="str">
            <v>Patricia Miller</v>
          </cell>
        </row>
        <row r="336">
          <cell r="W336" t="str">
            <v>Female</v>
          </cell>
          <cell r="AD336" t="str">
            <v>Rebecca Schneider</v>
          </cell>
        </row>
        <row r="337">
          <cell r="W337" t="str">
            <v>male</v>
          </cell>
          <cell r="AD337" t="str">
            <v>John Greene</v>
          </cell>
        </row>
        <row r="338">
          <cell r="W338" t="str">
            <v>Female</v>
          </cell>
          <cell r="AD338" t="str">
            <v>Brittany Mcdowell</v>
          </cell>
        </row>
        <row r="339">
          <cell r="W339" t="str">
            <v>Female</v>
          </cell>
          <cell r="AD339" t="str">
            <v>Lori Miller</v>
          </cell>
        </row>
        <row r="340">
          <cell r="W340" t="str">
            <v>M</v>
          </cell>
          <cell r="AD340" t="str">
            <v>Joseph Robinson</v>
          </cell>
        </row>
        <row r="341">
          <cell r="W341" t="str">
            <v>Male</v>
          </cell>
          <cell r="AD341" t="str">
            <v>Aaron Pruitt</v>
          </cell>
        </row>
        <row r="342">
          <cell r="W342" t="str">
            <v>f</v>
          </cell>
          <cell r="AD342" t="str">
            <v>Victoria Miller</v>
          </cell>
        </row>
        <row r="343">
          <cell r="W343" t="str">
            <v>M</v>
          </cell>
          <cell r="AD343" t="str">
            <v>Clarence Vega</v>
          </cell>
        </row>
        <row r="344">
          <cell r="W344" t="str">
            <v>Female</v>
          </cell>
          <cell r="AD344" t="str">
            <v>Deborah Day</v>
          </cell>
        </row>
        <row r="345">
          <cell r="W345" t="str">
            <v>Female</v>
          </cell>
          <cell r="AD345" t="str">
            <v>Nicole Rocha</v>
          </cell>
        </row>
        <row r="346">
          <cell r="W346" t="str">
            <v>MALE</v>
          </cell>
          <cell r="AD346" t="str">
            <v>Elijah Green</v>
          </cell>
        </row>
        <row r="347">
          <cell r="W347" t="str">
            <v>f</v>
          </cell>
          <cell r="AD347" t="str">
            <v>Emily Johnson</v>
          </cell>
        </row>
        <row r="348">
          <cell r="W348" t="str">
            <v>M</v>
          </cell>
          <cell r="AD348" t="str">
            <v>Richard Velasquez</v>
          </cell>
        </row>
        <row r="349">
          <cell r="W349" t="str">
            <v>m</v>
          </cell>
          <cell r="AD349" t="str">
            <v>Kurt Wilson</v>
          </cell>
        </row>
        <row r="350">
          <cell r="W350" t="str">
            <v>M</v>
          </cell>
          <cell r="AD350" t="str">
            <v>Jeremiah Rodriguez</v>
          </cell>
        </row>
        <row r="351">
          <cell r="W351" t="str">
            <v>F</v>
          </cell>
          <cell r="AD351" t="str">
            <v>Lauren Lang</v>
          </cell>
        </row>
        <row r="352">
          <cell r="W352" t="str">
            <v>male</v>
          </cell>
          <cell r="AD352" t="str">
            <v>Matthew Phillips</v>
          </cell>
        </row>
        <row r="353">
          <cell r="W353" t="str">
            <v>MALE</v>
          </cell>
          <cell r="AD353" t="str">
            <v>Michael Andersen</v>
          </cell>
        </row>
        <row r="354">
          <cell r="W354" t="str">
            <v>f</v>
          </cell>
          <cell r="AD354" t="str">
            <v>Amanda Mayo</v>
          </cell>
        </row>
        <row r="355">
          <cell r="W355" t="str">
            <v>F</v>
          </cell>
          <cell r="AD355" t="str">
            <v>Jessica Vance</v>
          </cell>
        </row>
        <row r="356">
          <cell r="W356" t="str">
            <v>Female</v>
          </cell>
          <cell r="AD356" t="str">
            <v>Alexa Gallegos</v>
          </cell>
        </row>
        <row r="357">
          <cell r="W357" t="str">
            <v>MALE</v>
          </cell>
          <cell r="AD357" t="str">
            <v>Charles Pratt</v>
          </cell>
        </row>
        <row r="358">
          <cell r="W358" t="str">
            <v>m</v>
          </cell>
          <cell r="AD358" t="str">
            <v>Brian Baker</v>
          </cell>
        </row>
        <row r="359">
          <cell r="W359" t="str">
            <v>Female</v>
          </cell>
          <cell r="AD359" t="str">
            <v>Christina Norman</v>
          </cell>
        </row>
        <row r="360">
          <cell r="W360" t="str">
            <v>FEMALE</v>
          </cell>
          <cell r="AD360" t="str">
            <v>Laura Kelly</v>
          </cell>
        </row>
        <row r="361">
          <cell r="W361" t="str">
            <v>Male</v>
          </cell>
          <cell r="AD361" t="str">
            <v>John Webb</v>
          </cell>
        </row>
        <row r="362">
          <cell r="W362" t="str">
            <v>M</v>
          </cell>
          <cell r="AD362" t="str">
            <v>Christopher Burton</v>
          </cell>
        </row>
        <row r="363">
          <cell r="W363" t="str">
            <v>Male</v>
          </cell>
          <cell r="AD363" t="str">
            <v>Bradley Aguilar</v>
          </cell>
        </row>
        <row r="364">
          <cell r="W364" t="str">
            <v>Male</v>
          </cell>
          <cell r="AD364" t="str">
            <v>Arthur Vasquez</v>
          </cell>
        </row>
        <row r="365">
          <cell r="W365" t="str">
            <v>FEMALE</v>
          </cell>
          <cell r="AD365" t="str">
            <v>Angela Castro</v>
          </cell>
        </row>
        <row r="366">
          <cell r="W366" t="str">
            <v>female</v>
          </cell>
          <cell r="AD366" t="str">
            <v>Summer Yoder</v>
          </cell>
        </row>
        <row r="367">
          <cell r="W367" t="str">
            <v>female</v>
          </cell>
          <cell r="AD367" t="str">
            <v>Jackie Allen</v>
          </cell>
        </row>
        <row r="368">
          <cell r="W368" t="str">
            <v>male</v>
          </cell>
          <cell r="AD368" t="str">
            <v>Brandon Williams</v>
          </cell>
        </row>
        <row r="369">
          <cell r="W369" t="str">
            <v>M</v>
          </cell>
          <cell r="AD369" t="str">
            <v>Manuel Torres</v>
          </cell>
        </row>
        <row r="370">
          <cell r="W370" t="str">
            <v>m</v>
          </cell>
          <cell r="AD370" t="str">
            <v>Scott Keller</v>
          </cell>
        </row>
        <row r="371">
          <cell r="W371" t="str">
            <v>FEMALE</v>
          </cell>
          <cell r="AD371" t="str">
            <v>Deborah Brown</v>
          </cell>
        </row>
        <row r="372">
          <cell r="W372" t="str">
            <v>F</v>
          </cell>
          <cell r="AD372" t="str">
            <v>Jennifer Lara</v>
          </cell>
        </row>
        <row r="373">
          <cell r="W373" t="str">
            <v>male</v>
          </cell>
          <cell r="AD373" t="str">
            <v>Jason Scott</v>
          </cell>
        </row>
        <row r="374">
          <cell r="W374" t="str">
            <v>M</v>
          </cell>
          <cell r="AD374" t="str">
            <v>Gregory Garrison</v>
          </cell>
        </row>
        <row r="375">
          <cell r="W375" t="str">
            <v>female</v>
          </cell>
          <cell r="AD375" t="str">
            <v>Chelsea Anderson</v>
          </cell>
        </row>
        <row r="376">
          <cell r="W376" t="str">
            <v>MALE</v>
          </cell>
          <cell r="AD376" t="str">
            <v>Gerald Johnson</v>
          </cell>
        </row>
        <row r="377">
          <cell r="W377" t="str">
            <v>male</v>
          </cell>
          <cell r="AD377" t="str">
            <v>Kevin Ellis</v>
          </cell>
        </row>
        <row r="378">
          <cell r="W378" t="str">
            <v>Male</v>
          </cell>
          <cell r="AD378" t="str">
            <v>Mitchell Keller</v>
          </cell>
        </row>
        <row r="379">
          <cell r="W379" t="str">
            <v>female</v>
          </cell>
          <cell r="AD379" t="str">
            <v>Mary Brown</v>
          </cell>
        </row>
        <row r="380">
          <cell r="W380" t="str">
            <v>MALE</v>
          </cell>
          <cell r="AD380" t="str">
            <v>Ronald Walls</v>
          </cell>
        </row>
        <row r="381">
          <cell r="W381" t="str">
            <v>Male</v>
          </cell>
          <cell r="AD381" t="str">
            <v>Anthony Avila</v>
          </cell>
        </row>
        <row r="382">
          <cell r="W382" t="str">
            <v>m</v>
          </cell>
          <cell r="AD382" t="str">
            <v>Douglas Goodwin</v>
          </cell>
        </row>
        <row r="383">
          <cell r="W383" t="str">
            <v>MALE</v>
          </cell>
          <cell r="AD383" t="str">
            <v>James Mills</v>
          </cell>
        </row>
        <row r="384">
          <cell r="W384" t="str">
            <v>FEMALE</v>
          </cell>
          <cell r="AD384" t="str">
            <v>Nicole Marks</v>
          </cell>
        </row>
        <row r="385">
          <cell r="W385" t="str">
            <v>Female</v>
          </cell>
          <cell r="AD385" t="str">
            <v>Phyllis Dawson</v>
          </cell>
        </row>
        <row r="386">
          <cell r="W386" t="str">
            <v>f</v>
          </cell>
          <cell r="AD386" t="str">
            <v>Renee Arnold</v>
          </cell>
        </row>
        <row r="387">
          <cell r="W387" t="str">
            <v>M</v>
          </cell>
          <cell r="AD387" t="str">
            <v>Eric Robinson</v>
          </cell>
        </row>
        <row r="388">
          <cell r="W388" t="str">
            <v>m</v>
          </cell>
          <cell r="AD388" t="str">
            <v>Paul Brown</v>
          </cell>
        </row>
        <row r="389">
          <cell r="W389" t="str">
            <v>FEMALE</v>
          </cell>
          <cell r="AD389" t="str">
            <v>Sarah Proctor</v>
          </cell>
        </row>
        <row r="390">
          <cell r="W390" t="str">
            <v>m</v>
          </cell>
          <cell r="AD390" t="str">
            <v>Matthew Hicks</v>
          </cell>
        </row>
        <row r="391">
          <cell r="W391" t="str">
            <v>m</v>
          </cell>
          <cell r="AD391" t="str">
            <v>Christopher Black</v>
          </cell>
        </row>
        <row r="392">
          <cell r="W392" t="str">
            <v>F</v>
          </cell>
          <cell r="AD392" t="str">
            <v>Joanne Reyes</v>
          </cell>
        </row>
        <row r="393">
          <cell r="W393" t="str">
            <v>MALE</v>
          </cell>
          <cell r="AD393" t="str">
            <v>Isaac Gray</v>
          </cell>
        </row>
        <row r="394">
          <cell r="W394" t="str">
            <v>m</v>
          </cell>
          <cell r="AD394" t="str">
            <v>Joshua Roberts</v>
          </cell>
        </row>
        <row r="395">
          <cell r="W395" t="str">
            <v>F</v>
          </cell>
          <cell r="AD395" t="str">
            <v>Elizabeth Estrada</v>
          </cell>
        </row>
        <row r="396">
          <cell r="W396" t="str">
            <v>f</v>
          </cell>
          <cell r="AD396" t="str">
            <v>Lori Malone</v>
          </cell>
        </row>
        <row r="397">
          <cell r="W397" t="str">
            <v>male</v>
          </cell>
          <cell r="AD397" t="str">
            <v>Anthony Huynh MD</v>
          </cell>
        </row>
        <row r="398">
          <cell r="W398" t="str">
            <v>FEMALE</v>
          </cell>
          <cell r="AD398" t="str">
            <v>Mindy York</v>
          </cell>
        </row>
        <row r="399">
          <cell r="W399" t="str">
            <v>f</v>
          </cell>
          <cell r="AD399" t="str">
            <v>Christine Cherry</v>
          </cell>
        </row>
        <row r="400">
          <cell r="W400" t="str">
            <v>m</v>
          </cell>
          <cell r="AD400" t="str">
            <v>Daniel Foster</v>
          </cell>
        </row>
        <row r="401">
          <cell r="W401" t="str">
            <v>MALE</v>
          </cell>
          <cell r="AD401" t="str">
            <v>David Valencia</v>
          </cell>
        </row>
        <row r="402">
          <cell r="W402" t="str">
            <v>M</v>
          </cell>
          <cell r="AD402" t="str">
            <v>Ethan Adams</v>
          </cell>
        </row>
        <row r="403">
          <cell r="W403" t="str">
            <v>M</v>
          </cell>
          <cell r="AD403" t="str">
            <v>Brett Moore</v>
          </cell>
        </row>
        <row r="404">
          <cell r="W404" t="str">
            <v>MALE</v>
          </cell>
          <cell r="AD404" t="str">
            <v>Phillip Griffin</v>
          </cell>
        </row>
        <row r="405">
          <cell r="W405" t="str">
            <v>Female</v>
          </cell>
          <cell r="AD405" t="str">
            <v>Stacie Wall</v>
          </cell>
        </row>
        <row r="406">
          <cell r="W406" t="str">
            <v>M</v>
          </cell>
          <cell r="AD406" t="str">
            <v>Jacob Austin</v>
          </cell>
        </row>
        <row r="407">
          <cell r="W407" t="str">
            <v>FEMALE</v>
          </cell>
          <cell r="AD407" t="str">
            <v>Sabrina Davidson</v>
          </cell>
        </row>
        <row r="408">
          <cell r="W408" t="str">
            <v>male</v>
          </cell>
          <cell r="AD408" t="str">
            <v>Dustin Douglas</v>
          </cell>
        </row>
        <row r="409">
          <cell r="W409" t="str">
            <v>MALE</v>
          </cell>
          <cell r="AD409" t="str">
            <v>Steven Norris</v>
          </cell>
        </row>
        <row r="410">
          <cell r="W410" t="str">
            <v>female</v>
          </cell>
          <cell r="AD410" t="str">
            <v>Mindy Sullivan</v>
          </cell>
        </row>
        <row r="411">
          <cell r="W411" t="str">
            <v>f</v>
          </cell>
          <cell r="AD411" t="str">
            <v>Elizabeth Stone</v>
          </cell>
        </row>
        <row r="412">
          <cell r="W412" t="str">
            <v>Female</v>
          </cell>
          <cell r="AD412" t="str">
            <v>Diane Flores</v>
          </cell>
        </row>
        <row r="413">
          <cell r="W413" t="str">
            <v>FEMALE</v>
          </cell>
          <cell r="AD413" t="str">
            <v>Jessica Erickson</v>
          </cell>
        </row>
        <row r="414">
          <cell r="W414" t="str">
            <v>FEMALE</v>
          </cell>
          <cell r="AD414" t="str">
            <v>Sara Moses</v>
          </cell>
        </row>
        <row r="415">
          <cell r="W415" t="str">
            <v>F</v>
          </cell>
          <cell r="AD415" t="str">
            <v>Allison Henderson</v>
          </cell>
        </row>
        <row r="416">
          <cell r="W416" t="str">
            <v>FEMALE</v>
          </cell>
          <cell r="AD416" t="str">
            <v>Susan Dixon</v>
          </cell>
        </row>
        <row r="417">
          <cell r="W417" t="str">
            <v>male</v>
          </cell>
          <cell r="AD417" t="str">
            <v>David Morrison</v>
          </cell>
        </row>
        <row r="418">
          <cell r="W418" t="str">
            <v>M</v>
          </cell>
          <cell r="AD418" t="str">
            <v>Jason Carter</v>
          </cell>
        </row>
        <row r="419">
          <cell r="W419" t="str">
            <v>male</v>
          </cell>
          <cell r="AD419" t="str">
            <v>James Jacobs</v>
          </cell>
        </row>
        <row r="420">
          <cell r="W420" t="str">
            <v>female</v>
          </cell>
          <cell r="AD420" t="str">
            <v>Kathleen Quinn</v>
          </cell>
        </row>
        <row r="421">
          <cell r="W421" t="str">
            <v>FEMALE</v>
          </cell>
          <cell r="AD421" t="str">
            <v>Natalie Frank MD</v>
          </cell>
        </row>
        <row r="422">
          <cell r="W422" t="str">
            <v>male</v>
          </cell>
          <cell r="AD422" t="str">
            <v>Michael Reed</v>
          </cell>
        </row>
        <row r="423">
          <cell r="W423" t="str">
            <v>f</v>
          </cell>
          <cell r="AD423" t="str">
            <v>Sheila Smith</v>
          </cell>
        </row>
        <row r="424">
          <cell r="W424" t="str">
            <v>female</v>
          </cell>
          <cell r="AD424" t="str">
            <v>Morgan Ford</v>
          </cell>
        </row>
        <row r="425">
          <cell r="W425" t="str">
            <v>FEMALE</v>
          </cell>
          <cell r="AD425" t="str">
            <v>Linda Schultz</v>
          </cell>
        </row>
        <row r="426">
          <cell r="W426" t="str">
            <v>F</v>
          </cell>
          <cell r="AD426" t="str">
            <v>Regina Daniel</v>
          </cell>
        </row>
        <row r="427">
          <cell r="W427" t="str">
            <v>FEMALE</v>
          </cell>
          <cell r="AD427" t="str">
            <v>Allison Perkins</v>
          </cell>
        </row>
        <row r="428">
          <cell r="W428" t="str">
            <v>MALE</v>
          </cell>
          <cell r="AD428" t="str">
            <v>Bradley Weaver</v>
          </cell>
        </row>
        <row r="429">
          <cell r="W429" t="str">
            <v>Female</v>
          </cell>
          <cell r="AD429" t="str">
            <v>Sarah Hall</v>
          </cell>
        </row>
        <row r="430">
          <cell r="W430" t="str">
            <v>Female</v>
          </cell>
          <cell r="AD430" t="str">
            <v>Diana Walton</v>
          </cell>
        </row>
        <row r="431">
          <cell r="W431" t="str">
            <v>FEMALE</v>
          </cell>
          <cell r="AD431" t="str">
            <v>Donna Davis</v>
          </cell>
        </row>
        <row r="432">
          <cell r="W432" t="str">
            <v>MALE</v>
          </cell>
          <cell r="AD432" t="str">
            <v>Christopher Mcclain</v>
          </cell>
        </row>
        <row r="433">
          <cell r="W433" t="str">
            <v>m</v>
          </cell>
          <cell r="AD433" t="str">
            <v>Paul Williamson</v>
          </cell>
        </row>
        <row r="434">
          <cell r="W434" t="str">
            <v>F</v>
          </cell>
          <cell r="AD434" t="str">
            <v>Barbara Brown</v>
          </cell>
        </row>
        <row r="435">
          <cell r="W435" t="str">
            <v>f</v>
          </cell>
          <cell r="AD435" t="str">
            <v>Kimberly Allen</v>
          </cell>
        </row>
        <row r="436">
          <cell r="W436" t="str">
            <v>FEMALE</v>
          </cell>
          <cell r="AD436" t="str">
            <v>Elizabeth Edwards</v>
          </cell>
        </row>
        <row r="437">
          <cell r="W437" t="str">
            <v>MALE</v>
          </cell>
          <cell r="AD437" t="str">
            <v>Anthony Downs</v>
          </cell>
        </row>
        <row r="438">
          <cell r="W438" t="str">
            <v>male</v>
          </cell>
          <cell r="AD438" t="str">
            <v>Jack Ortega</v>
          </cell>
        </row>
        <row r="439">
          <cell r="W439" t="str">
            <v>male</v>
          </cell>
          <cell r="AD439" t="str">
            <v>Marvin Moore</v>
          </cell>
        </row>
        <row r="440">
          <cell r="W440" t="str">
            <v>m</v>
          </cell>
          <cell r="AD440" t="str">
            <v>Tony French</v>
          </cell>
        </row>
        <row r="441">
          <cell r="W441" t="str">
            <v>F</v>
          </cell>
          <cell r="AD441" t="str">
            <v>Stacy Hudson</v>
          </cell>
        </row>
        <row r="442">
          <cell r="W442" t="str">
            <v>Male</v>
          </cell>
          <cell r="AD442" t="str">
            <v>Scott Washington</v>
          </cell>
        </row>
        <row r="443">
          <cell r="W443" t="str">
            <v>Male</v>
          </cell>
          <cell r="AD443" t="str">
            <v>Timothy Wright</v>
          </cell>
        </row>
        <row r="444">
          <cell r="W444" t="str">
            <v>M</v>
          </cell>
          <cell r="AD444" t="str">
            <v>Joseph Gonzalez</v>
          </cell>
        </row>
        <row r="445">
          <cell r="W445" t="str">
            <v>FEMALE</v>
          </cell>
          <cell r="AD445" t="str">
            <v>Andrea Perez</v>
          </cell>
        </row>
        <row r="446">
          <cell r="W446" t="str">
            <v>F</v>
          </cell>
          <cell r="AD446" t="str">
            <v>Angel Collins</v>
          </cell>
        </row>
        <row r="447">
          <cell r="W447" t="str">
            <v>m</v>
          </cell>
          <cell r="AD447" t="str">
            <v>Daniel Terry</v>
          </cell>
        </row>
        <row r="448">
          <cell r="W448" t="str">
            <v>male</v>
          </cell>
          <cell r="AD448" t="str">
            <v>Steven Whitaker</v>
          </cell>
        </row>
        <row r="449">
          <cell r="W449" t="str">
            <v>FEMALE</v>
          </cell>
          <cell r="AD449" t="str">
            <v>Denise Neal</v>
          </cell>
        </row>
        <row r="450">
          <cell r="W450" t="str">
            <v>F</v>
          </cell>
          <cell r="AD450" t="str">
            <v>Amanda Jacobs</v>
          </cell>
        </row>
        <row r="451">
          <cell r="W451" t="str">
            <v>female</v>
          </cell>
          <cell r="AD451" t="str">
            <v>Karen Mercer</v>
          </cell>
        </row>
        <row r="452">
          <cell r="W452" t="str">
            <v>f</v>
          </cell>
          <cell r="AD452" t="str">
            <v>Lindsay Hudson</v>
          </cell>
        </row>
        <row r="453">
          <cell r="W453" t="str">
            <v>female</v>
          </cell>
          <cell r="AD453" t="str">
            <v>Stephanie Armstrong</v>
          </cell>
        </row>
        <row r="454">
          <cell r="W454" t="str">
            <v>f</v>
          </cell>
          <cell r="AD454" t="str">
            <v>Jessica Campbell</v>
          </cell>
        </row>
        <row r="455">
          <cell r="W455" t="str">
            <v>Male</v>
          </cell>
          <cell r="AD455" t="str">
            <v>Curtis Maxwell</v>
          </cell>
        </row>
        <row r="456">
          <cell r="W456" t="str">
            <v>M</v>
          </cell>
          <cell r="AD456" t="str">
            <v>Adam Kelly PhD</v>
          </cell>
        </row>
        <row r="457">
          <cell r="W457" t="str">
            <v>FEMALE</v>
          </cell>
          <cell r="AD457" t="str">
            <v>Julie Becker</v>
          </cell>
        </row>
        <row r="458">
          <cell r="W458" t="str">
            <v>Male</v>
          </cell>
          <cell r="AD458" t="str">
            <v>James Moore</v>
          </cell>
        </row>
        <row r="459">
          <cell r="W459" t="str">
            <v>F</v>
          </cell>
          <cell r="AD459" t="str">
            <v>Danielle Barrera</v>
          </cell>
        </row>
        <row r="460">
          <cell r="W460" t="str">
            <v>Male</v>
          </cell>
          <cell r="AD460" t="str">
            <v>David Sanchez</v>
          </cell>
        </row>
        <row r="461">
          <cell r="W461" t="str">
            <v>female</v>
          </cell>
          <cell r="AD461" t="str">
            <v>Tiffany Bowman</v>
          </cell>
        </row>
        <row r="462">
          <cell r="W462" t="str">
            <v>MALE</v>
          </cell>
          <cell r="AD462" t="str">
            <v>Jesus Quinn</v>
          </cell>
        </row>
        <row r="463">
          <cell r="W463" t="str">
            <v>male</v>
          </cell>
          <cell r="AD463" t="str">
            <v>Danny Morris</v>
          </cell>
        </row>
        <row r="464">
          <cell r="W464" t="str">
            <v>female</v>
          </cell>
          <cell r="AD464" t="str">
            <v>Nicole York</v>
          </cell>
        </row>
        <row r="465">
          <cell r="W465" t="str">
            <v>male</v>
          </cell>
          <cell r="AD465" t="str">
            <v>John Mathis</v>
          </cell>
        </row>
        <row r="466">
          <cell r="W466" t="str">
            <v>female</v>
          </cell>
          <cell r="AD466" t="str">
            <v>Julie Barnett</v>
          </cell>
        </row>
        <row r="467">
          <cell r="W467" t="str">
            <v>F</v>
          </cell>
          <cell r="AD467" t="str">
            <v>Jasmine Harris</v>
          </cell>
        </row>
        <row r="468">
          <cell r="W468" t="str">
            <v>female</v>
          </cell>
          <cell r="AD468" t="str">
            <v>Mary Henry</v>
          </cell>
        </row>
        <row r="469">
          <cell r="W469" t="str">
            <v>F</v>
          </cell>
          <cell r="AD469" t="str">
            <v>Judith Riggs</v>
          </cell>
        </row>
        <row r="470">
          <cell r="W470" t="str">
            <v>Male</v>
          </cell>
          <cell r="AD470" t="str">
            <v>Justin Ruiz</v>
          </cell>
        </row>
        <row r="471">
          <cell r="W471" t="str">
            <v>Female</v>
          </cell>
          <cell r="AD471" t="str">
            <v>Jennifer Sullivan</v>
          </cell>
        </row>
        <row r="472">
          <cell r="W472" t="str">
            <v>MALE</v>
          </cell>
          <cell r="AD472" t="str">
            <v>Jesse Moran</v>
          </cell>
        </row>
        <row r="473">
          <cell r="W473" t="str">
            <v>f</v>
          </cell>
          <cell r="AD473" t="str">
            <v>Monica Smith</v>
          </cell>
        </row>
        <row r="474">
          <cell r="W474" t="str">
            <v>MALE</v>
          </cell>
          <cell r="AD474" t="str">
            <v>Ian May</v>
          </cell>
        </row>
        <row r="475">
          <cell r="W475" t="str">
            <v>FEMALE</v>
          </cell>
          <cell r="AD475" t="str">
            <v>Kayla Meyers</v>
          </cell>
        </row>
        <row r="476">
          <cell r="W476" t="str">
            <v>MALE</v>
          </cell>
          <cell r="AD476" t="str">
            <v>John Bray</v>
          </cell>
        </row>
        <row r="477">
          <cell r="W477" t="str">
            <v>m</v>
          </cell>
          <cell r="AD477" t="str">
            <v>James Smith</v>
          </cell>
        </row>
        <row r="478">
          <cell r="W478" t="str">
            <v>M</v>
          </cell>
          <cell r="AD478" t="str">
            <v>Mark Duncan</v>
          </cell>
        </row>
        <row r="479">
          <cell r="W479" t="str">
            <v>M</v>
          </cell>
          <cell r="AD479" t="str">
            <v>Matthew Gay</v>
          </cell>
        </row>
        <row r="480">
          <cell r="W480" t="str">
            <v>Female</v>
          </cell>
          <cell r="AD480" t="str">
            <v>Cheryl Freeman</v>
          </cell>
        </row>
        <row r="481">
          <cell r="W481" t="str">
            <v>male</v>
          </cell>
          <cell r="AD481" t="str">
            <v>Patrick Welch</v>
          </cell>
        </row>
        <row r="482">
          <cell r="W482" t="str">
            <v>Male</v>
          </cell>
          <cell r="AD482" t="str">
            <v>Craig Levine</v>
          </cell>
        </row>
        <row r="483">
          <cell r="W483" t="str">
            <v>MALE</v>
          </cell>
          <cell r="AD483" t="str">
            <v>Richard Harvey</v>
          </cell>
        </row>
        <row r="484">
          <cell r="W484" t="str">
            <v>female</v>
          </cell>
          <cell r="AD484" t="str">
            <v>Bonnie Sherman</v>
          </cell>
        </row>
        <row r="485">
          <cell r="W485" t="str">
            <v>m</v>
          </cell>
          <cell r="AD485" t="str">
            <v>Keith Trujillo</v>
          </cell>
        </row>
        <row r="486">
          <cell r="W486" t="str">
            <v>male</v>
          </cell>
          <cell r="AD486" t="str">
            <v>Corey Combs</v>
          </cell>
        </row>
        <row r="487">
          <cell r="W487" t="str">
            <v>MALE</v>
          </cell>
          <cell r="AD487" t="str">
            <v>Antonio King</v>
          </cell>
        </row>
        <row r="488">
          <cell r="W488" t="str">
            <v>f</v>
          </cell>
          <cell r="AD488" t="str">
            <v>Amy Lee</v>
          </cell>
        </row>
        <row r="489">
          <cell r="W489" t="str">
            <v>f</v>
          </cell>
          <cell r="AD489" t="str">
            <v>Jennifer Rogers</v>
          </cell>
        </row>
        <row r="490">
          <cell r="W490" t="str">
            <v>MALE</v>
          </cell>
          <cell r="AD490" t="str">
            <v>Jeffrey Cooper</v>
          </cell>
        </row>
        <row r="491">
          <cell r="W491" t="str">
            <v>Female</v>
          </cell>
          <cell r="AD491" t="str">
            <v>Allison Williams</v>
          </cell>
        </row>
        <row r="492">
          <cell r="W492" t="str">
            <v>M</v>
          </cell>
          <cell r="AD492" t="str">
            <v>Raymond Sherman</v>
          </cell>
        </row>
        <row r="493">
          <cell r="W493" t="str">
            <v>FEMALE</v>
          </cell>
          <cell r="AD493" t="str">
            <v>Jennifer Nelson</v>
          </cell>
        </row>
        <row r="494">
          <cell r="W494" t="str">
            <v>FEMALE</v>
          </cell>
          <cell r="AD494" t="str">
            <v>Jennifer Carter</v>
          </cell>
        </row>
        <row r="495">
          <cell r="W495" t="str">
            <v>m</v>
          </cell>
          <cell r="AD495" t="str">
            <v>Todd Williams</v>
          </cell>
        </row>
        <row r="496">
          <cell r="W496" t="str">
            <v>F</v>
          </cell>
          <cell r="AD496" t="str">
            <v>Emily Horton</v>
          </cell>
        </row>
        <row r="497">
          <cell r="W497" t="str">
            <v>Male</v>
          </cell>
          <cell r="AD497" t="str">
            <v>Lance Lester</v>
          </cell>
        </row>
        <row r="498">
          <cell r="W498" t="str">
            <v>m</v>
          </cell>
          <cell r="AD498" t="str">
            <v>Kevin Flores</v>
          </cell>
        </row>
        <row r="499">
          <cell r="W499" t="str">
            <v>male</v>
          </cell>
          <cell r="AD499" t="str">
            <v>Aaron Stewart PhD</v>
          </cell>
        </row>
        <row r="500">
          <cell r="W500" t="str">
            <v>Female</v>
          </cell>
          <cell r="AD500" t="str">
            <v>Robin Moore</v>
          </cell>
        </row>
        <row r="501">
          <cell r="W501" t="str">
            <v>f</v>
          </cell>
          <cell r="AD501" t="str">
            <v>Suzanne Ingram</v>
          </cell>
        </row>
        <row r="502">
          <cell r="W502" t="str">
            <v>m</v>
          </cell>
          <cell r="AD502" t="str">
            <v>Jacob Mclaughlin</v>
          </cell>
        </row>
        <row r="503">
          <cell r="W503" t="str">
            <v>M</v>
          </cell>
          <cell r="AD503" t="str">
            <v>Michael Nunez</v>
          </cell>
        </row>
        <row r="504">
          <cell r="W504" t="str">
            <v>FEMALE</v>
          </cell>
          <cell r="AD504" t="str">
            <v>Isabel Brown</v>
          </cell>
        </row>
        <row r="505">
          <cell r="W505" t="str">
            <v>M</v>
          </cell>
          <cell r="AD505" t="str">
            <v>Michael Stein</v>
          </cell>
        </row>
        <row r="506">
          <cell r="W506" t="str">
            <v>Male</v>
          </cell>
          <cell r="AD506" t="str">
            <v>Robert Stone</v>
          </cell>
        </row>
        <row r="507">
          <cell r="W507" t="str">
            <v>Male</v>
          </cell>
          <cell r="AD507" t="str">
            <v>Dillon Henry</v>
          </cell>
        </row>
        <row r="508">
          <cell r="W508" t="str">
            <v>M</v>
          </cell>
          <cell r="AD508" t="str">
            <v>James Todd</v>
          </cell>
        </row>
        <row r="509">
          <cell r="W509" t="str">
            <v>male</v>
          </cell>
          <cell r="AD509" t="str">
            <v>Clifford Moore MD</v>
          </cell>
        </row>
        <row r="510">
          <cell r="W510" t="str">
            <v>m</v>
          </cell>
          <cell r="AD510" t="str">
            <v>John Rios</v>
          </cell>
        </row>
        <row r="511">
          <cell r="W511" t="str">
            <v>m</v>
          </cell>
          <cell r="AD511" t="str">
            <v>Anthony Gaines</v>
          </cell>
        </row>
        <row r="512">
          <cell r="W512" t="str">
            <v>Female</v>
          </cell>
          <cell r="AD512" t="str">
            <v>Kristi Brown DVM</v>
          </cell>
        </row>
        <row r="513">
          <cell r="W513" t="str">
            <v>FEMALE</v>
          </cell>
          <cell r="AD513" t="str">
            <v>Ashley Odonnell</v>
          </cell>
        </row>
        <row r="514">
          <cell r="W514" t="str">
            <v>male</v>
          </cell>
          <cell r="AD514" t="str">
            <v>Ronald Elliott</v>
          </cell>
        </row>
        <row r="515">
          <cell r="W515" t="str">
            <v>F</v>
          </cell>
          <cell r="AD515" t="str">
            <v>Lorraine Lowery</v>
          </cell>
        </row>
        <row r="516">
          <cell r="W516" t="str">
            <v>female</v>
          </cell>
          <cell r="AD516" t="str">
            <v>Victoria Chapman</v>
          </cell>
        </row>
        <row r="517">
          <cell r="W517" t="str">
            <v>female</v>
          </cell>
          <cell r="AD517" t="str">
            <v>Heather Davis</v>
          </cell>
        </row>
        <row r="518">
          <cell r="W518" t="str">
            <v>FEMALE</v>
          </cell>
          <cell r="AD518" t="str">
            <v>Diana Chase</v>
          </cell>
        </row>
        <row r="519">
          <cell r="W519" t="str">
            <v>F</v>
          </cell>
          <cell r="AD519" t="str">
            <v>Danielle Adkins</v>
          </cell>
        </row>
        <row r="520">
          <cell r="W520" t="str">
            <v>Male</v>
          </cell>
          <cell r="AD520" t="str">
            <v>Kenneth Arias</v>
          </cell>
        </row>
        <row r="521">
          <cell r="W521" t="str">
            <v>F</v>
          </cell>
          <cell r="AD521" t="str">
            <v>Victoria Owen</v>
          </cell>
        </row>
        <row r="522">
          <cell r="W522" t="str">
            <v>Female</v>
          </cell>
          <cell r="AD522" t="str">
            <v>Christina King</v>
          </cell>
        </row>
        <row r="523">
          <cell r="W523" t="str">
            <v>female</v>
          </cell>
          <cell r="AD523" t="str">
            <v>Samantha King</v>
          </cell>
        </row>
        <row r="524">
          <cell r="W524" t="str">
            <v>m</v>
          </cell>
          <cell r="AD524" t="str">
            <v>Scott Compton</v>
          </cell>
        </row>
        <row r="525">
          <cell r="W525" t="str">
            <v>FEMALE</v>
          </cell>
          <cell r="AD525" t="str">
            <v>Monica West</v>
          </cell>
        </row>
        <row r="526">
          <cell r="W526" t="str">
            <v>F</v>
          </cell>
          <cell r="AD526" t="str">
            <v>Theresa Stewart</v>
          </cell>
        </row>
        <row r="527">
          <cell r="W527" t="str">
            <v>m</v>
          </cell>
          <cell r="AD527" t="str">
            <v>Steven Kim</v>
          </cell>
        </row>
        <row r="528">
          <cell r="W528" t="str">
            <v>FEMALE</v>
          </cell>
          <cell r="AD528" t="str">
            <v>Kristi Knight</v>
          </cell>
        </row>
        <row r="529">
          <cell r="W529" t="str">
            <v>Male</v>
          </cell>
          <cell r="AD529" t="str">
            <v>Jason Bryant</v>
          </cell>
        </row>
        <row r="530">
          <cell r="W530" t="str">
            <v>Female</v>
          </cell>
          <cell r="AD530" t="str">
            <v>Maureen Keith</v>
          </cell>
        </row>
        <row r="531">
          <cell r="W531" t="str">
            <v>Male</v>
          </cell>
          <cell r="AD531" t="str">
            <v>Shawn Hogan</v>
          </cell>
        </row>
        <row r="532">
          <cell r="W532" t="str">
            <v>M</v>
          </cell>
          <cell r="AD532" t="str">
            <v>William Davis</v>
          </cell>
        </row>
        <row r="533">
          <cell r="W533" t="str">
            <v>female</v>
          </cell>
          <cell r="AD533" t="str">
            <v>Stacy Bailey</v>
          </cell>
        </row>
        <row r="534">
          <cell r="W534" t="str">
            <v>MALE</v>
          </cell>
          <cell r="AD534" t="str">
            <v>Thomas Dixon</v>
          </cell>
        </row>
        <row r="535">
          <cell r="W535" t="str">
            <v>female</v>
          </cell>
          <cell r="AD535" t="str">
            <v>Maria Hall</v>
          </cell>
        </row>
        <row r="536">
          <cell r="W536" t="str">
            <v>MALE</v>
          </cell>
          <cell r="AD536" t="str">
            <v>Tony Lee</v>
          </cell>
        </row>
        <row r="537">
          <cell r="W537" t="str">
            <v>FEMALE</v>
          </cell>
          <cell r="AD537" t="str">
            <v>Catherine Mccoy MD</v>
          </cell>
        </row>
        <row r="538">
          <cell r="W538" t="str">
            <v>F</v>
          </cell>
          <cell r="AD538" t="str">
            <v>Maria Benitez</v>
          </cell>
        </row>
        <row r="539">
          <cell r="W539" t="str">
            <v>MALE</v>
          </cell>
          <cell r="AD539" t="str">
            <v>Joshua Chambers</v>
          </cell>
        </row>
        <row r="540">
          <cell r="W540" t="str">
            <v>f</v>
          </cell>
          <cell r="AD540" t="str">
            <v>Janice Daniels</v>
          </cell>
        </row>
        <row r="541">
          <cell r="W541" t="str">
            <v>FEMALE</v>
          </cell>
          <cell r="AD541" t="str">
            <v>Carla Wood</v>
          </cell>
        </row>
        <row r="542">
          <cell r="W542" t="str">
            <v>Male</v>
          </cell>
          <cell r="AD542" t="str">
            <v>Kenneth Vasquez</v>
          </cell>
        </row>
        <row r="543">
          <cell r="W543" t="str">
            <v>MALE</v>
          </cell>
          <cell r="AD543" t="str">
            <v>Kevin Smith</v>
          </cell>
        </row>
        <row r="544">
          <cell r="W544" t="str">
            <v>Male</v>
          </cell>
          <cell r="AD544" t="str">
            <v>Thomas Kim</v>
          </cell>
        </row>
        <row r="545">
          <cell r="W545" t="str">
            <v>MALE</v>
          </cell>
          <cell r="AD545" t="str">
            <v>Sean Park</v>
          </cell>
        </row>
        <row r="546">
          <cell r="W546" t="str">
            <v>Female</v>
          </cell>
          <cell r="AD546" t="str">
            <v>Judith Poole</v>
          </cell>
        </row>
        <row r="547">
          <cell r="W547" t="str">
            <v>f</v>
          </cell>
          <cell r="AD547" t="str">
            <v>Melanie Baird</v>
          </cell>
        </row>
        <row r="548">
          <cell r="W548" t="str">
            <v>FEMALE</v>
          </cell>
          <cell r="AD548" t="str">
            <v>Erika Mitchell</v>
          </cell>
        </row>
        <row r="549">
          <cell r="W549" t="str">
            <v>M</v>
          </cell>
          <cell r="AD549" t="str">
            <v>Ricky Martinez</v>
          </cell>
        </row>
        <row r="550">
          <cell r="W550" t="str">
            <v>Male</v>
          </cell>
          <cell r="AD550" t="str">
            <v>John Christian</v>
          </cell>
        </row>
        <row r="551">
          <cell r="W551" t="str">
            <v>F</v>
          </cell>
          <cell r="AD551" t="str">
            <v>Nancy Smith</v>
          </cell>
        </row>
        <row r="552">
          <cell r="W552" t="str">
            <v>F</v>
          </cell>
          <cell r="AD552" t="str">
            <v>Cassandra Stephens</v>
          </cell>
        </row>
        <row r="553">
          <cell r="W553" t="str">
            <v>female</v>
          </cell>
          <cell r="AD553" t="str">
            <v>Miss Janet Donovan MD</v>
          </cell>
        </row>
        <row r="554">
          <cell r="W554" t="str">
            <v>F</v>
          </cell>
          <cell r="AD554" t="str">
            <v>Kristina Williams</v>
          </cell>
        </row>
        <row r="555">
          <cell r="W555" t="str">
            <v>M</v>
          </cell>
          <cell r="AD555" t="str">
            <v>Wayne Barnes</v>
          </cell>
        </row>
        <row r="556">
          <cell r="W556" t="str">
            <v>MALE</v>
          </cell>
          <cell r="AD556" t="str">
            <v>James Hinton</v>
          </cell>
        </row>
        <row r="557">
          <cell r="W557" t="str">
            <v>male</v>
          </cell>
          <cell r="AD557" t="str">
            <v>David Spence</v>
          </cell>
        </row>
        <row r="558">
          <cell r="W558" t="str">
            <v>Male</v>
          </cell>
          <cell r="AD558" t="str">
            <v>Tyler Cooper</v>
          </cell>
        </row>
        <row r="559">
          <cell r="W559" t="str">
            <v>M</v>
          </cell>
          <cell r="AD559" t="str">
            <v>Sean Martinez</v>
          </cell>
        </row>
        <row r="560">
          <cell r="W560" t="str">
            <v>f</v>
          </cell>
          <cell r="AD560" t="str">
            <v>Janet Barron</v>
          </cell>
        </row>
        <row r="561">
          <cell r="W561" t="str">
            <v>male</v>
          </cell>
          <cell r="AD561" t="str">
            <v>Rodney Wilson</v>
          </cell>
        </row>
        <row r="562">
          <cell r="W562" t="str">
            <v>female</v>
          </cell>
          <cell r="AD562" t="str">
            <v>Kimberly Fitzgerald</v>
          </cell>
        </row>
        <row r="563">
          <cell r="W563" t="str">
            <v>Female</v>
          </cell>
          <cell r="AD563" t="str">
            <v>Nicole Davis</v>
          </cell>
        </row>
        <row r="564">
          <cell r="W564" t="str">
            <v>FEMALE</v>
          </cell>
          <cell r="AD564" t="str">
            <v>Elizabeth Hayes</v>
          </cell>
        </row>
        <row r="565">
          <cell r="W565" t="str">
            <v>FEMALE</v>
          </cell>
          <cell r="AD565" t="str">
            <v>Kathy Faulkner</v>
          </cell>
        </row>
        <row r="566">
          <cell r="W566" t="str">
            <v>MALE</v>
          </cell>
          <cell r="AD566" t="str">
            <v>John Gonzales</v>
          </cell>
        </row>
        <row r="567">
          <cell r="W567" t="str">
            <v>female</v>
          </cell>
          <cell r="AD567" t="str">
            <v>Shannon Luna</v>
          </cell>
        </row>
        <row r="568">
          <cell r="W568" t="str">
            <v>FEMALE</v>
          </cell>
          <cell r="AD568" t="str">
            <v>Stephanie Burton</v>
          </cell>
        </row>
        <row r="569">
          <cell r="W569" t="str">
            <v>M</v>
          </cell>
          <cell r="AD569" t="str">
            <v>Kevin Gonzales</v>
          </cell>
        </row>
        <row r="570">
          <cell r="W570" t="str">
            <v>Female</v>
          </cell>
          <cell r="AD570" t="str">
            <v>Dawn Hardy</v>
          </cell>
        </row>
        <row r="571">
          <cell r="W571" t="str">
            <v>f</v>
          </cell>
          <cell r="AD571" t="str">
            <v>Margaret Perkins</v>
          </cell>
        </row>
        <row r="572">
          <cell r="W572" t="str">
            <v>female</v>
          </cell>
          <cell r="AD572" t="str">
            <v>Amanda Vargas</v>
          </cell>
        </row>
        <row r="573">
          <cell r="W573" t="str">
            <v>F</v>
          </cell>
          <cell r="AD573" t="str">
            <v>Tonya Gonzalez</v>
          </cell>
        </row>
        <row r="574">
          <cell r="W574" t="str">
            <v>F</v>
          </cell>
          <cell r="AD574" t="str">
            <v>Elizabeth Bowman</v>
          </cell>
        </row>
        <row r="575">
          <cell r="W575" t="str">
            <v>f</v>
          </cell>
          <cell r="AD575" t="str">
            <v>Ariana Pittman</v>
          </cell>
        </row>
        <row r="576">
          <cell r="W576" t="str">
            <v>MALE</v>
          </cell>
          <cell r="AD576" t="str">
            <v>Antonio Johnson</v>
          </cell>
        </row>
        <row r="577">
          <cell r="W577" t="str">
            <v>Male</v>
          </cell>
          <cell r="AD577" t="str">
            <v>Justin Lang</v>
          </cell>
        </row>
        <row r="578">
          <cell r="W578" t="str">
            <v>F</v>
          </cell>
          <cell r="AD578" t="str">
            <v>Kelli Ramirez</v>
          </cell>
        </row>
        <row r="579">
          <cell r="W579" t="str">
            <v>F</v>
          </cell>
          <cell r="AD579" t="str">
            <v>Deborah Torres</v>
          </cell>
        </row>
        <row r="580">
          <cell r="W580" t="str">
            <v>MALE</v>
          </cell>
          <cell r="AD580" t="str">
            <v>Joseph Horn</v>
          </cell>
        </row>
        <row r="581">
          <cell r="W581" t="str">
            <v>male</v>
          </cell>
          <cell r="AD581" t="str">
            <v>Christopher Robinson</v>
          </cell>
        </row>
        <row r="582">
          <cell r="W582" t="str">
            <v>F</v>
          </cell>
          <cell r="AD582" t="str">
            <v>Sandra Mccormick</v>
          </cell>
        </row>
        <row r="583">
          <cell r="W583" t="str">
            <v>Male</v>
          </cell>
          <cell r="AD583" t="str">
            <v>Michael Holland</v>
          </cell>
        </row>
        <row r="584">
          <cell r="W584" t="str">
            <v>MALE</v>
          </cell>
          <cell r="AD584" t="str">
            <v>Kenneth Stevenson</v>
          </cell>
        </row>
        <row r="585">
          <cell r="W585" t="str">
            <v>m</v>
          </cell>
          <cell r="AD585" t="str">
            <v>Timothy Bennett</v>
          </cell>
        </row>
        <row r="586">
          <cell r="W586" t="str">
            <v>M</v>
          </cell>
          <cell r="AD586" t="str">
            <v>Gregory Randall</v>
          </cell>
        </row>
        <row r="587">
          <cell r="W587" t="str">
            <v>M</v>
          </cell>
          <cell r="AD587" t="str">
            <v>Charles Martinez</v>
          </cell>
        </row>
        <row r="588">
          <cell r="W588" t="str">
            <v>M</v>
          </cell>
          <cell r="AD588" t="str">
            <v>James Hall</v>
          </cell>
        </row>
        <row r="589">
          <cell r="W589" t="str">
            <v>m</v>
          </cell>
          <cell r="AD589" t="str">
            <v>Michael Garcia</v>
          </cell>
        </row>
        <row r="590">
          <cell r="W590" t="str">
            <v>F</v>
          </cell>
          <cell r="AD590" t="str">
            <v>Michele Duran</v>
          </cell>
        </row>
        <row r="591">
          <cell r="W591" t="str">
            <v>f</v>
          </cell>
          <cell r="AD591" t="str">
            <v>Jessica Gray</v>
          </cell>
        </row>
        <row r="592">
          <cell r="W592" t="str">
            <v>M</v>
          </cell>
          <cell r="AD592" t="str">
            <v>Keith Shaffer</v>
          </cell>
        </row>
        <row r="593">
          <cell r="W593" t="str">
            <v>female</v>
          </cell>
          <cell r="AD593" t="str">
            <v>Jessica Decker</v>
          </cell>
        </row>
        <row r="594">
          <cell r="W594" t="str">
            <v>female</v>
          </cell>
          <cell r="AD594" t="str">
            <v>Brianna Pittman</v>
          </cell>
        </row>
        <row r="595">
          <cell r="W595" t="str">
            <v>FEMALE</v>
          </cell>
          <cell r="AD595" t="str">
            <v>Kimberly Hunter</v>
          </cell>
        </row>
        <row r="596">
          <cell r="W596" t="str">
            <v>M</v>
          </cell>
          <cell r="AD596" t="str">
            <v>Daniel Martin</v>
          </cell>
        </row>
        <row r="597">
          <cell r="W597" t="str">
            <v>FEMALE</v>
          </cell>
          <cell r="AD597" t="str">
            <v>Rachel Smith</v>
          </cell>
        </row>
        <row r="598">
          <cell r="W598" t="str">
            <v>m</v>
          </cell>
          <cell r="AD598" t="str">
            <v>Michael Miller</v>
          </cell>
        </row>
        <row r="599">
          <cell r="W599" t="str">
            <v>M</v>
          </cell>
          <cell r="AD599" t="str">
            <v>Willie Clark</v>
          </cell>
        </row>
        <row r="600">
          <cell r="W600" t="str">
            <v>Male</v>
          </cell>
          <cell r="AD600" t="str">
            <v>Jeremy Hernandez</v>
          </cell>
        </row>
        <row r="601">
          <cell r="W601" t="str">
            <v>female</v>
          </cell>
          <cell r="AD601" t="str">
            <v>Tina Shelton</v>
          </cell>
        </row>
        <row r="602">
          <cell r="W602" t="str">
            <v>Female</v>
          </cell>
          <cell r="AD602" t="str">
            <v xml:space="preserve"> Pamela Larson</v>
          </cell>
        </row>
        <row r="603">
          <cell r="W603" t="str">
            <v>male</v>
          </cell>
          <cell r="AD603" t="str">
            <v>Ryan Ewing</v>
          </cell>
        </row>
        <row r="604">
          <cell r="W604" t="str">
            <v>male</v>
          </cell>
          <cell r="AD604" t="str">
            <v>Mark Cochran</v>
          </cell>
        </row>
        <row r="605">
          <cell r="W605" t="str">
            <v>female</v>
          </cell>
          <cell r="AD605" t="str">
            <v>Martha Carson</v>
          </cell>
        </row>
        <row r="606">
          <cell r="W606" t="str">
            <v>FEMALE</v>
          </cell>
          <cell r="AD606" t="str">
            <v>Heather Jackson</v>
          </cell>
        </row>
        <row r="607">
          <cell r="W607" t="str">
            <v>f</v>
          </cell>
          <cell r="AD607" t="str">
            <v>Megan Young</v>
          </cell>
        </row>
        <row r="608">
          <cell r="W608" t="str">
            <v>M</v>
          </cell>
          <cell r="AD608" t="str">
            <v>Thomas Davis</v>
          </cell>
        </row>
        <row r="609">
          <cell r="W609" t="str">
            <v>M</v>
          </cell>
          <cell r="AD609" t="str">
            <v>Thomas Mooney</v>
          </cell>
        </row>
        <row r="610">
          <cell r="W610" t="str">
            <v>FEMALE</v>
          </cell>
          <cell r="AD610" t="str">
            <v>Susan Smith</v>
          </cell>
        </row>
        <row r="611">
          <cell r="W611" t="str">
            <v>F</v>
          </cell>
          <cell r="AD611" t="str">
            <v>Brianna Orr</v>
          </cell>
        </row>
        <row r="612">
          <cell r="W612" t="str">
            <v>male</v>
          </cell>
          <cell r="AD612" t="str">
            <v>Dustin Smith</v>
          </cell>
        </row>
        <row r="613">
          <cell r="W613" t="str">
            <v>FEMALE</v>
          </cell>
          <cell r="AD613" t="str">
            <v>Sarah White</v>
          </cell>
        </row>
        <row r="614">
          <cell r="W614" t="str">
            <v>MALE</v>
          </cell>
          <cell r="AD614" t="str">
            <v>Michael Davis</v>
          </cell>
        </row>
        <row r="615">
          <cell r="W615" t="str">
            <v>f</v>
          </cell>
          <cell r="AD615" t="str">
            <v>Jennifer Phillips</v>
          </cell>
        </row>
        <row r="616">
          <cell r="W616" t="str">
            <v>Female</v>
          </cell>
          <cell r="AD616" t="str">
            <v>Dana Sanders</v>
          </cell>
        </row>
        <row r="617">
          <cell r="W617" t="str">
            <v>male</v>
          </cell>
          <cell r="AD617" t="str">
            <v>Daniel Quinn</v>
          </cell>
        </row>
        <row r="618">
          <cell r="W618" t="str">
            <v>Male</v>
          </cell>
          <cell r="AD618" t="str">
            <v>Matthew Steele</v>
          </cell>
        </row>
        <row r="619">
          <cell r="W619" t="str">
            <v>FEMALE</v>
          </cell>
          <cell r="AD619" t="str">
            <v>Michele Taylor</v>
          </cell>
        </row>
        <row r="620">
          <cell r="W620" t="str">
            <v>Female</v>
          </cell>
          <cell r="AD620" t="str">
            <v>Ashley Hammond</v>
          </cell>
        </row>
        <row r="621">
          <cell r="W621" t="str">
            <v>female</v>
          </cell>
          <cell r="AD621" t="str">
            <v>Nicole Taylor</v>
          </cell>
        </row>
        <row r="622">
          <cell r="W622" t="str">
            <v>Male</v>
          </cell>
          <cell r="AD622" t="str">
            <v>Casey Bush</v>
          </cell>
        </row>
        <row r="623">
          <cell r="W623" t="str">
            <v>M</v>
          </cell>
          <cell r="AD623" t="str">
            <v>Samuel Patterson</v>
          </cell>
        </row>
        <row r="624">
          <cell r="W624" t="str">
            <v>MALE</v>
          </cell>
          <cell r="AD624" t="str">
            <v>Craig Dennis</v>
          </cell>
        </row>
        <row r="625">
          <cell r="W625" t="str">
            <v>female</v>
          </cell>
          <cell r="AD625" t="str">
            <v>Heidi Dixon</v>
          </cell>
        </row>
        <row r="626">
          <cell r="W626" t="str">
            <v>Male</v>
          </cell>
          <cell r="AD626" t="str">
            <v>David Bishop</v>
          </cell>
        </row>
        <row r="627">
          <cell r="W627" t="str">
            <v>Female</v>
          </cell>
          <cell r="AD627" t="str">
            <v>Laura Butler</v>
          </cell>
        </row>
        <row r="628">
          <cell r="W628" t="str">
            <v>F</v>
          </cell>
          <cell r="AD628" t="str">
            <v>Denise Erickson</v>
          </cell>
        </row>
        <row r="629">
          <cell r="W629" t="str">
            <v>f</v>
          </cell>
          <cell r="AD629" t="str">
            <v>Nicole Austin</v>
          </cell>
        </row>
        <row r="630">
          <cell r="W630" t="str">
            <v>female</v>
          </cell>
          <cell r="AD630" t="str">
            <v>Summer Williams</v>
          </cell>
        </row>
        <row r="631">
          <cell r="W631" t="str">
            <v>F</v>
          </cell>
          <cell r="AD631" t="str">
            <v>Angela Blackwell</v>
          </cell>
        </row>
        <row r="632">
          <cell r="W632" t="str">
            <v>m</v>
          </cell>
          <cell r="AD632" t="str">
            <v>Thomas Wall</v>
          </cell>
        </row>
        <row r="633">
          <cell r="W633" t="str">
            <v>f</v>
          </cell>
          <cell r="AD633" t="str">
            <v>Sarah Anderson</v>
          </cell>
        </row>
        <row r="634">
          <cell r="W634" t="str">
            <v>m</v>
          </cell>
          <cell r="AD634" t="str">
            <v>Christian Lane</v>
          </cell>
        </row>
        <row r="635">
          <cell r="W635" t="str">
            <v>m</v>
          </cell>
          <cell r="AD635" t="str">
            <v>Todd Casey</v>
          </cell>
        </row>
        <row r="636">
          <cell r="W636" t="str">
            <v>MALE</v>
          </cell>
          <cell r="AD636" t="str">
            <v>David Martinez</v>
          </cell>
        </row>
        <row r="637">
          <cell r="W637" t="str">
            <v>M</v>
          </cell>
          <cell r="AD637" t="str">
            <v>Donald Salas</v>
          </cell>
        </row>
        <row r="638">
          <cell r="W638" t="str">
            <v>Female</v>
          </cell>
          <cell r="AD638" t="str">
            <v>Emma Hicks</v>
          </cell>
        </row>
        <row r="639">
          <cell r="W639" t="str">
            <v>FEMALE</v>
          </cell>
          <cell r="AD639" t="str">
            <v>Alison Clark</v>
          </cell>
        </row>
        <row r="640">
          <cell r="W640" t="str">
            <v>M</v>
          </cell>
          <cell r="AD640" t="str">
            <v>Andrew Barnes</v>
          </cell>
        </row>
        <row r="641">
          <cell r="W641" t="str">
            <v>F</v>
          </cell>
          <cell r="AD641" t="str">
            <v>Gina Snyder</v>
          </cell>
        </row>
        <row r="642">
          <cell r="W642" t="str">
            <v>MALE</v>
          </cell>
          <cell r="AD642" t="str">
            <v>David Watson</v>
          </cell>
        </row>
        <row r="643">
          <cell r="W643" t="str">
            <v>male</v>
          </cell>
          <cell r="AD643" t="str">
            <v>John Davis</v>
          </cell>
        </row>
        <row r="644">
          <cell r="W644" t="str">
            <v>male</v>
          </cell>
          <cell r="AD644" t="str">
            <v>Joseph Thomas</v>
          </cell>
        </row>
        <row r="645">
          <cell r="W645" t="str">
            <v>male</v>
          </cell>
          <cell r="AD645" t="str">
            <v>Dean Finley</v>
          </cell>
        </row>
        <row r="646">
          <cell r="W646" t="str">
            <v>FEMALE</v>
          </cell>
          <cell r="AD646" t="str">
            <v>Ashley Kemp</v>
          </cell>
        </row>
        <row r="647">
          <cell r="W647" t="str">
            <v>M</v>
          </cell>
          <cell r="AD647" t="str">
            <v>Kenneth Evans</v>
          </cell>
        </row>
        <row r="648">
          <cell r="W648" t="str">
            <v>male</v>
          </cell>
          <cell r="AD648" t="str">
            <v>Brandon Newman</v>
          </cell>
        </row>
        <row r="649">
          <cell r="W649" t="str">
            <v>FEMALE</v>
          </cell>
          <cell r="AD649" t="str">
            <v>Katie Hensley</v>
          </cell>
        </row>
        <row r="650">
          <cell r="W650" t="str">
            <v>M</v>
          </cell>
          <cell r="AD650" t="str">
            <v>Joel Randolph</v>
          </cell>
        </row>
        <row r="651">
          <cell r="W651" t="str">
            <v>male</v>
          </cell>
          <cell r="AD651" t="str">
            <v>Andrew Scott</v>
          </cell>
        </row>
        <row r="652">
          <cell r="W652" t="str">
            <v>MALE</v>
          </cell>
          <cell r="AD652" t="str">
            <v>Zachary Ochoa</v>
          </cell>
        </row>
        <row r="653">
          <cell r="W653" t="str">
            <v>m</v>
          </cell>
          <cell r="AD653" t="str">
            <v>John Arroyo</v>
          </cell>
        </row>
        <row r="654">
          <cell r="W654" t="str">
            <v>MALE</v>
          </cell>
          <cell r="AD654" t="str">
            <v>Matthew Fernandez</v>
          </cell>
        </row>
        <row r="655">
          <cell r="W655" t="str">
            <v>MALE</v>
          </cell>
          <cell r="AD655" t="str">
            <v>Benjamin Stark</v>
          </cell>
        </row>
        <row r="656">
          <cell r="W656" t="str">
            <v>Female</v>
          </cell>
          <cell r="AD656" t="str">
            <v>Tammy Greer</v>
          </cell>
        </row>
        <row r="657">
          <cell r="W657" t="str">
            <v>female</v>
          </cell>
          <cell r="AD657" t="str">
            <v>Cynthia Mckinney</v>
          </cell>
        </row>
        <row r="658">
          <cell r="W658" t="str">
            <v>FEMALE</v>
          </cell>
          <cell r="AD658" t="str">
            <v>Wendy Rice</v>
          </cell>
        </row>
        <row r="659">
          <cell r="W659" t="str">
            <v>Male</v>
          </cell>
          <cell r="AD659" t="str">
            <v>Randy Bender</v>
          </cell>
        </row>
        <row r="660">
          <cell r="W660" t="str">
            <v>MALE</v>
          </cell>
          <cell r="AD660" t="str">
            <v>Richard Dominguez</v>
          </cell>
        </row>
        <row r="661">
          <cell r="W661" t="str">
            <v>f</v>
          </cell>
          <cell r="AD661" t="str">
            <v>Melissa Maldonado</v>
          </cell>
        </row>
        <row r="662">
          <cell r="W662" t="str">
            <v>F</v>
          </cell>
          <cell r="AD662" t="str">
            <v>Leah Harris</v>
          </cell>
        </row>
        <row r="663">
          <cell r="W663" t="str">
            <v>Female</v>
          </cell>
          <cell r="AD663" t="str">
            <v>Lynn French</v>
          </cell>
        </row>
        <row r="664">
          <cell r="W664" t="str">
            <v>Female</v>
          </cell>
          <cell r="AD664" t="str">
            <v>Angela Johnson</v>
          </cell>
        </row>
        <row r="665">
          <cell r="W665" t="str">
            <v>FEMALE</v>
          </cell>
          <cell r="AD665" t="str">
            <v>Sarah Edwards</v>
          </cell>
        </row>
        <row r="666">
          <cell r="W666" t="str">
            <v>male</v>
          </cell>
          <cell r="AD666" t="str">
            <v>Roy Collins</v>
          </cell>
        </row>
        <row r="667">
          <cell r="W667" t="str">
            <v>F</v>
          </cell>
          <cell r="AD667" t="str">
            <v>Samantha Porter</v>
          </cell>
        </row>
        <row r="668">
          <cell r="W668" t="str">
            <v>male</v>
          </cell>
          <cell r="AD668" t="str">
            <v>Juan Elliott</v>
          </cell>
        </row>
        <row r="669">
          <cell r="W669" t="str">
            <v>FEMALE</v>
          </cell>
          <cell r="AD669" t="str">
            <v>Elizabeth Phillips</v>
          </cell>
        </row>
        <row r="670">
          <cell r="W670" t="str">
            <v>Female</v>
          </cell>
          <cell r="AD670" t="str">
            <v>Laura Evans</v>
          </cell>
        </row>
        <row r="671">
          <cell r="W671" t="str">
            <v>FEMALE</v>
          </cell>
          <cell r="AD671" t="str">
            <v>Amanda Mitchell</v>
          </cell>
        </row>
        <row r="672">
          <cell r="W672" t="str">
            <v>female</v>
          </cell>
          <cell r="AD672" t="str">
            <v>Sandra Williams</v>
          </cell>
        </row>
        <row r="673">
          <cell r="W673" t="str">
            <v>male</v>
          </cell>
          <cell r="AD673" t="str">
            <v>Eric Johnson</v>
          </cell>
        </row>
        <row r="674">
          <cell r="W674" t="str">
            <v>Male</v>
          </cell>
          <cell r="AD674" t="str">
            <v>Javier Hobbs</v>
          </cell>
        </row>
        <row r="675">
          <cell r="W675" t="str">
            <v>male</v>
          </cell>
          <cell r="AD675" t="str">
            <v>Jacob Jones</v>
          </cell>
        </row>
        <row r="676">
          <cell r="W676" t="str">
            <v>MALE</v>
          </cell>
          <cell r="AD676" t="str">
            <v>Zachary Murphy</v>
          </cell>
        </row>
        <row r="677">
          <cell r="W677" t="str">
            <v>M</v>
          </cell>
          <cell r="AD677" t="str">
            <v>Joshua Owens</v>
          </cell>
        </row>
        <row r="678">
          <cell r="W678" t="str">
            <v>F</v>
          </cell>
          <cell r="AD678" t="str">
            <v>Dawn Mitchell</v>
          </cell>
        </row>
        <row r="679">
          <cell r="W679" t="str">
            <v>female</v>
          </cell>
          <cell r="AD679" t="str">
            <v>Regina Dunn</v>
          </cell>
        </row>
        <row r="680">
          <cell r="W680" t="str">
            <v>MALE</v>
          </cell>
          <cell r="AD680" t="str">
            <v>Ernest Cole</v>
          </cell>
        </row>
        <row r="681">
          <cell r="W681" t="str">
            <v>female</v>
          </cell>
          <cell r="AD681" t="str">
            <v>Hannah Sanders</v>
          </cell>
        </row>
        <row r="682">
          <cell r="W682" t="str">
            <v>Female</v>
          </cell>
          <cell r="AD682" t="str">
            <v>Ellen Bowman</v>
          </cell>
        </row>
        <row r="683">
          <cell r="W683" t="str">
            <v>FEMALE</v>
          </cell>
          <cell r="AD683" t="str">
            <v>Nancy Moore</v>
          </cell>
        </row>
        <row r="684">
          <cell r="W684" t="str">
            <v>m</v>
          </cell>
          <cell r="AD684" t="str">
            <v>Joseph Wood</v>
          </cell>
        </row>
        <row r="685">
          <cell r="W685" t="str">
            <v>MALE</v>
          </cell>
          <cell r="AD685" t="str">
            <v>Michael Harrell</v>
          </cell>
        </row>
        <row r="686">
          <cell r="W686" t="str">
            <v>F</v>
          </cell>
          <cell r="AD686" t="str">
            <v>Connie Mcclain</v>
          </cell>
        </row>
        <row r="687">
          <cell r="W687" t="str">
            <v>M</v>
          </cell>
          <cell r="AD687" t="str">
            <v>Matthew Baldwin</v>
          </cell>
        </row>
        <row r="688">
          <cell r="W688" t="str">
            <v>f</v>
          </cell>
          <cell r="AD688" t="str">
            <v>Danielle Nelson</v>
          </cell>
        </row>
        <row r="689">
          <cell r="W689" t="str">
            <v>M</v>
          </cell>
          <cell r="AD689" t="str">
            <v>Steven Moore</v>
          </cell>
        </row>
        <row r="690">
          <cell r="W690" t="str">
            <v>f</v>
          </cell>
          <cell r="AD690" t="str">
            <v>Megan Hudson</v>
          </cell>
        </row>
        <row r="691">
          <cell r="W691" t="str">
            <v>Female</v>
          </cell>
          <cell r="AD691" t="str">
            <v>Lisa Johnson</v>
          </cell>
        </row>
        <row r="692">
          <cell r="W692" t="str">
            <v>f</v>
          </cell>
          <cell r="AD692" t="str">
            <v>Tracy White</v>
          </cell>
        </row>
        <row r="693">
          <cell r="W693" t="str">
            <v>FEMALE</v>
          </cell>
          <cell r="AD693" t="str">
            <v>Natalie Diaz</v>
          </cell>
        </row>
        <row r="694">
          <cell r="W694" t="str">
            <v>female</v>
          </cell>
          <cell r="AD694" t="str">
            <v>Amanda Mitchell</v>
          </cell>
        </row>
        <row r="695">
          <cell r="W695" t="str">
            <v>FEMALE</v>
          </cell>
          <cell r="AD695" t="str">
            <v>Karen Scott</v>
          </cell>
        </row>
        <row r="696">
          <cell r="W696" t="str">
            <v>FEMALE</v>
          </cell>
          <cell r="AD696" t="str">
            <v>Mary Brown</v>
          </cell>
        </row>
        <row r="697">
          <cell r="W697" t="str">
            <v>male</v>
          </cell>
          <cell r="AD697" t="str">
            <v>Jon Jones</v>
          </cell>
        </row>
        <row r="698">
          <cell r="W698" t="str">
            <v>Male</v>
          </cell>
          <cell r="AD698" t="str">
            <v>Jason Phillips</v>
          </cell>
        </row>
        <row r="699">
          <cell r="W699" t="str">
            <v>M</v>
          </cell>
          <cell r="AD699" t="str">
            <v>Eric Walsh</v>
          </cell>
        </row>
        <row r="700">
          <cell r="W700" t="str">
            <v>f</v>
          </cell>
          <cell r="AD700" t="str">
            <v>Carol Schneider</v>
          </cell>
        </row>
        <row r="701">
          <cell r="W701" t="str">
            <v>MALE</v>
          </cell>
          <cell r="AD701" t="str">
            <v>Juan Hines</v>
          </cell>
        </row>
        <row r="702">
          <cell r="W702" t="str">
            <v>f</v>
          </cell>
          <cell r="AD702" t="str">
            <v>Martha Sweeney</v>
          </cell>
        </row>
        <row r="703">
          <cell r="W703" t="str">
            <v>m</v>
          </cell>
          <cell r="AD703" t="str">
            <v>Jason Weaver</v>
          </cell>
        </row>
        <row r="704">
          <cell r="W704" t="str">
            <v>M</v>
          </cell>
          <cell r="AD704" t="str">
            <v>Benjamin Stevens</v>
          </cell>
        </row>
        <row r="705">
          <cell r="W705" t="str">
            <v>M</v>
          </cell>
          <cell r="AD705" t="str">
            <v>Daniel Lopez</v>
          </cell>
        </row>
        <row r="706">
          <cell r="W706" t="str">
            <v>male</v>
          </cell>
          <cell r="AD706" t="str">
            <v>John Simpson</v>
          </cell>
        </row>
        <row r="707">
          <cell r="W707" t="str">
            <v>F</v>
          </cell>
          <cell r="AD707" t="str">
            <v>Katrina Schultz</v>
          </cell>
        </row>
        <row r="708">
          <cell r="W708" t="str">
            <v>FEMALE</v>
          </cell>
          <cell r="AD708" t="str">
            <v>Danielle Bell</v>
          </cell>
        </row>
        <row r="709">
          <cell r="W709" t="str">
            <v>M</v>
          </cell>
          <cell r="AD709" t="str">
            <v>Jason Brady</v>
          </cell>
        </row>
        <row r="710">
          <cell r="W710" t="str">
            <v>f</v>
          </cell>
          <cell r="AD710" t="str">
            <v>Megan Bright</v>
          </cell>
        </row>
        <row r="711">
          <cell r="W711" t="str">
            <v>MALE</v>
          </cell>
          <cell r="AD711" t="str">
            <v>David Griffin</v>
          </cell>
        </row>
        <row r="712">
          <cell r="W712" t="str">
            <v>M</v>
          </cell>
          <cell r="AD712" t="str">
            <v>Michael Clark</v>
          </cell>
        </row>
        <row r="713">
          <cell r="W713" t="str">
            <v>f</v>
          </cell>
          <cell r="AD713" t="str">
            <v>Rebecca Barker</v>
          </cell>
        </row>
        <row r="714">
          <cell r="W714" t="str">
            <v>f</v>
          </cell>
          <cell r="AD714" t="str">
            <v>Angela Smith</v>
          </cell>
        </row>
        <row r="715">
          <cell r="W715" t="str">
            <v>F</v>
          </cell>
          <cell r="AD715" t="str">
            <v>Christina Wright</v>
          </cell>
        </row>
        <row r="716">
          <cell r="W716" t="str">
            <v>male</v>
          </cell>
          <cell r="AD716" t="str">
            <v>Todd Turner</v>
          </cell>
        </row>
        <row r="717">
          <cell r="W717" t="str">
            <v>Female</v>
          </cell>
          <cell r="AD717" t="str">
            <v>Elizabeth Green</v>
          </cell>
        </row>
        <row r="718">
          <cell r="W718" t="str">
            <v>M</v>
          </cell>
          <cell r="AD718" t="str">
            <v>Alex Smith</v>
          </cell>
        </row>
        <row r="719">
          <cell r="W719" t="str">
            <v>M</v>
          </cell>
          <cell r="AD719" t="str">
            <v>Shane Hale</v>
          </cell>
        </row>
        <row r="720">
          <cell r="W720" t="str">
            <v>female</v>
          </cell>
          <cell r="AD720" t="str">
            <v>Kathy Grimes</v>
          </cell>
        </row>
        <row r="721">
          <cell r="W721" t="str">
            <v>m</v>
          </cell>
          <cell r="AD721" t="str">
            <v>David Cherry</v>
          </cell>
        </row>
        <row r="722">
          <cell r="W722" t="str">
            <v>female</v>
          </cell>
          <cell r="AD722" t="str">
            <v>Rachel Rogers</v>
          </cell>
        </row>
        <row r="723">
          <cell r="W723" t="str">
            <v>MALE</v>
          </cell>
          <cell r="AD723" t="str">
            <v>Travis Braun</v>
          </cell>
        </row>
        <row r="724">
          <cell r="W724" t="str">
            <v>female</v>
          </cell>
          <cell r="AD724" t="str">
            <v>Shawna Palmer</v>
          </cell>
        </row>
        <row r="725">
          <cell r="W725" t="str">
            <v>m</v>
          </cell>
          <cell r="AD725" t="str">
            <v>Bradley Gaines</v>
          </cell>
        </row>
        <row r="726">
          <cell r="W726" t="str">
            <v>FEMALE</v>
          </cell>
          <cell r="AD726" t="str">
            <v>April Ford</v>
          </cell>
        </row>
        <row r="727">
          <cell r="W727" t="str">
            <v>MALE</v>
          </cell>
          <cell r="AD727" t="str">
            <v>James Gonzalez</v>
          </cell>
        </row>
        <row r="728">
          <cell r="W728" t="str">
            <v>m</v>
          </cell>
          <cell r="AD728" t="str">
            <v>John Castillo</v>
          </cell>
        </row>
        <row r="729">
          <cell r="W729" t="str">
            <v>M</v>
          </cell>
          <cell r="AD729" t="str">
            <v>Ian Hayes</v>
          </cell>
        </row>
        <row r="730">
          <cell r="W730" t="str">
            <v>Female</v>
          </cell>
          <cell r="AD730" t="str">
            <v>Christine Castro</v>
          </cell>
        </row>
        <row r="731">
          <cell r="W731" t="str">
            <v>Female</v>
          </cell>
          <cell r="AD731" t="str">
            <v>Jessica Chaney</v>
          </cell>
        </row>
        <row r="732">
          <cell r="W732" t="str">
            <v>MALE</v>
          </cell>
          <cell r="AD732" t="str">
            <v>John Gray</v>
          </cell>
        </row>
        <row r="733">
          <cell r="W733" t="str">
            <v>M</v>
          </cell>
          <cell r="AD733" t="str">
            <v>Shane Booker</v>
          </cell>
        </row>
        <row r="734">
          <cell r="W734" t="str">
            <v>m</v>
          </cell>
          <cell r="AD734" t="str">
            <v>Kyle Hall</v>
          </cell>
        </row>
        <row r="735">
          <cell r="W735" t="str">
            <v>m</v>
          </cell>
          <cell r="AD735" t="str">
            <v>Ronald Munoz</v>
          </cell>
        </row>
        <row r="736">
          <cell r="W736" t="str">
            <v>M</v>
          </cell>
          <cell r="AD736" t="str">
            <v>Christopher Long</v>
          </cell>
        </row>
        <row r="737">
          <cell r="W737" t="str">
            <v>f</v>
          </cell>
          <cell r="AD737" t="str">
            <v>Sandra Ali</v>
          </cell>
        </row>
        <row r="738">
          <cell r="W738" t="str">
            <v>FEMALE</v>
          </cell>
          <cell r="AD738" t="str">
            <v>Jessica Garza</v>
          </cell>
        </row>
        <row r="739">
          <cell r="W739" t="str">
            <v>M</v>
          </cell>
          <cell r="AD739" t="str">
            <v>Gregory Waters</v>
          </cell>
        </row>
        <row r="740">
          <cell r="W740" t="str">
            <v>F</v>
          </cell>
          <cell r="AD740" t="str">
            <v>Misty Adams</v>
          </cell>
        </row>
        <row r="741">
          <cell r="W741" t="str">
            <v>Female</v>
          </cell>
          <cell r="AD741" t="str">
            <v>Megan Brown</v>
          </cell>
        </row>
        <row r="742">
          <cell r="W742" t="str">
            <v>m</v>
          </cell>
          <cell r="AD742" t="str">
            <v>Gregory Brown</v>
          </cell>
        </row>
        <row r="743">
          <cell r="W743" t="str">
            <v>MALE</v>
          </cell>
          <cell r="AD743" t="str">
            <v>Scott Alexander MD</v>
          </cell>
        </row>
        <row r="744">
          <cell r="W744" t="str">
            <v>male</v>
          </cell>
          <cell r="AD744" t="str">
            <v>Eric Nguyen</v>
          </cell>
        </row>
        <row r="745">
          <cell r="W745" t="str">
            <v>FEMALE</v>
          </cell>
          <cell r="AD745" t="str">
            <v>Wendy Boyer</v>
          </cell>
        </row>
        <row r="746">
          <cell r="W746" t="str">
            <v>M</v>
          </cell>
          <cell r="AD746" t="str">
            <v>Mark Clark</v>
          </cell>
        </row>
        <row r="747">
          <cell r="W747" t="str">
            <v>male</v>
          </cell>
          <cell r="AD747" t="str">
            <v>Carl Kline</v>
          </cell>
        </row>
        <row r="748">
          <cell r="W748" t="str">
            <v>F</v>
          </cell>
          <cell r="AD748" t="str">
            <v>Linda Williams</v>
          </cell>
        </row>
        <row r="749">
          <cell r="W749" t="str">
            <v>Male</v>
          </cell>
          <cell r="AD749" t="str">
            <v>Jason Edwards</v>
          </cell>
        </row>
        <row r="750">
          <cell r="W750" t="str">
            <v>f</v>
          </cell>
          <cell r="AD750" t="str">
            <v>Madison Mcintosh</v>
          </cell>
        </row>
        <row r="751">
          <cell r="W751" t="str">
            <v>f</v>
          </cell>
          <cell r="AD751" t="str">
            <v>Desiree Winters</v>
          </cell>
        </row>
        <row r="752">
          <cell r="W752" t="str">
            <v>MALE</v>
          </cell>
          <cell r="AD752" t="str">
            <v>Ryan Taylor</v>
          </cell>
        </row>
        <row r="753">
          <cell r="W753" t="str">
            <v>female</v>
          </cell>
          <cell r="AD753" t="str">
            <v>Patricia Scott</v>
          </cell>
        </row>
        <row r="754">
          <cell r="W754" t="str">
            <v>FEMALE</v>
          </cell>
          <cell r="AD754" t="str">
            <v>Erin Jimenez</v>
          </cell>
        </row>
        <row r="755">
          <cell r="W755" t="str">
            <v>M</v>
          </cell>
          <cell r="AD755" t="str">
            <v>Anthony Krause</v>
          </cell>
        </row>
        <row r="756">
          <cell r="W756" t="str">
            <v>FEMALE</v>
          </cell>
          <cell r="AD756" t="str">
            <v>Diane Dean</v>
          </cell>
        </row>
        <row r="757">
          <cell r="W757" t="str">
            <v>MALE</v>
          </cell>
          <cell r="AD757" t="str">
            <v>Stuart Mckinney</v>
          </cell>
        </row>
        <row r="758">
          <cell r="W758" t="str">
            <v>f</v>
          </cell>
          <cell r="AD758" t="str">
            <v>Kellie Le</v>
          </cell>
        </row>
        <row r="759">
          <cell r="W759" t="str">
            <v>female</v>
          </cell>
          <cell r="AD759" t="str">
            <v>Lauren Henry</v>
          </cell>
        </row>
        <row r="760">
          <cell r="W760" t="str">
            <v>M</v>
          </cell>
          <cell r="AD760" t="str">
            <v>Brandon Fox</v>
          </cell>
        </row>
        <row r="761">
          <cell r="W761" t="str">
            <v>MALE</v>
          </cell>
          <cell r="AD761" t="str">
            <v>Richard Smith</v>
          </cell>
        </row>
        <row r="762">
          <cell r="W762" t="str">
            <v>m</v>
          </cell>
          <cell r="AD762" t="str">
            <v>John White</v>
          </cell>
        </row>
        <row r="763">
          <cell r="W763" t="str">
            <v>M</v>
          </cell>
          <cell r="AD763" t="str">
            <v>Gilbert Mcintyre</v>
          </cell>
        </row>
        <row r="764">
          <cell r="W764" t="str">
            <v>m</v>
          </cell>
          <cell r="AD764" t="str">
            <v>Christopher Sparks</v>
          </cell>
        </row>
        <row r="765">
          <cell r="W765" t="str">
            <v>male</v>
          </cell>
          <cell r="AD765" t="str">
            <v>Aaron Hicks</v>
          </cell>
        </row>
        <row r="766">
          <cell r="W766" t="str">
            <v>m</v>
          </cell>
          <cell r="AD766" t="str">
            <v>Jose Patterson</v>
          </cell>
        </row>
        <row r="767">
          <cell r="W767" t="str">
            <v>m</v>
          </cell>
          <cell r="AD767" t="str">
            <v>Bryan Long</v>
          </cell>
        </row>
        <row r="768">
          <cell r="W768" t="str">
            <v>F</v>
          </cell>
          <cell r="AD768" t="str">
            <v>Tammy Gomez</v>
          </cell>
        </row>
        <row r="769">
          <cell r="W769" t="str">
            <v>FEMALE</v>
          </cell>
          <cell r="AD769" t="str">
            <v>Diana Raymond</v>
          </cell>
        </row>
        <row r="770">
          <cell r="W770" t="str">
            <v>F</v>
          </cell>
          <cell r="AD770" t="str">
            <v>Jessica Armstrong</v>
          </cell>
        </row>
        <row r="771">
          <cell r="W771" t="str">
            <v>Female</v>
          </cell>
          <cell r="AD771" t="str">
            <v>Amanda Martin</v>
          </cell>
        </row>
        <row r="772">
          <cell r="W772" t="str">
            <v>female</v>
          </cell>
          <cell r="AD772" t="str">
            <v>Anne Hamilton</v>
          </cell>
        </row>
        <row r="773">
          <cell r="W773" t="str">
            <v>f</v>
          </cell>
          <cell r="AD773" t="str">
            <v>Heather Curtis</v>
          </cell>
        </row>
        <row r="774">
          <cell r="W774" t="str">
            <v>Female</v>
          </cell>
          <cell r="AD774" t="str">
            <v>Tiffany Moses</v>
          </cell>
        </row>
        <row r="775">
          <cell r="W775" t="str">
            <v>FEMALE</v>
          </cell>
          <cell r="AD775" t="str">
            <v>Jacqueline Moon</v>
          </cell>
        </row>
        <row r="776">
          <cell r="W776" t="str">
            <v>M</v>
          </cell>
          <cell r="AD776" t="str">
            <v>James Campbell</v>
          </cell>
        </row>
        <row r="777">
          <cell r="W777" t="str">
            <v>F</v>
          </cell>
          <cell r="AD777" t="str">
            <v>Melissa Vasquez</v>
          </cell>
        </row>
        <row r="778">
          <cell r="W778" t="str">
            <v>f</v>
          </cell>
          <cell r="AD778" t="str">
            <v>Katherine Carlson</v>
          </cell>
        </row>
        <row r="779">
          <cell r="W779" t="str">
            <v>M</v>
          </cell>
          <cell r="AD779" t="str">
            <v>Adam Clay</v>
          </cell>
        </row>
        <row r="780">
          <cell r="W780" t="str">
            <v>Female</v>
          </cell>
          <cell r="AD780" t="str">
            <v>Amy Combs</v>
          </cell>
        </row>
        <row r="781">
          <cell r="W781" t="str">
            <v>M</v>
          </cell>
          <cell r="AD781" t="str">
            <v>Anthony Case</v>
          </cell>
        </row>
        <row r="782">
          <cell r="W782" t="str">
            <v>F</v>
          </cell>
          <cell r="AD782" t="str">
            <v>Kimberly Brown</v>
          </cell>
        </row>
        <row r="783">
          <cell r="W783" t="str">
            <v>Male</v>
          </cell>
          <cell r="AD783" t="str">
            <v>Joshua Holloway</v>
          </cell>
        </row>
        <row r="784">
          <cell r="W784" t="str">
            <v>F</v>
          </cell>
          <cell r="AD784" t="str">
            <v>Cynthia Walton</v>
          </cell>
        </row>
        <row r="785">
          <cell r="W785" t="str">
            <v>M</v>
          </cell>
          <cell r="AD785" t="str">
            <v>Shawn Delgado</v>
          </cell>
        </row>
        <row r="786">
          <cell r="W786" t="str">
            <v>Male</v>
          </cell>
          <cell r="AD786" t="str">
            <v>Jeremy Smith</v>
          </cell>
        </row>
        <row r="787">
          <cell r="W787" t="str">
            <v>M</v>
          </cell>
          <cell r="AD787" t="str">
            <v>Marc Ortiz</v>
          </cell>
        </row>
        <row r="788">
          <cell r="W788" t="str">
            <v>Female</v>
          </cell>
          <cell r="AD788" t="str">
            <v>Michelle Gregory</v>
          </cell>
        </row>
        <row r="789">
          <cell r="W789" t="str">
            <v>female</v>
          </cell>
          <cell r="AD789" t="str">
            <v>Melanie Gay</v>
          </cell>
        </row>
        <row r="790">
          <cell r="W790" t="str">
            <v>F</v>
          </cell>
          <cell r="AD790" t="str">
            <v>Brittany Lambert</v>
          </cell>
        </row>
        <row r="791">
          <cell r="W791" t="str">
            <v>female</v>
          </cell>
          <cell r="AD791" t="str">
            <v>Mary Hernandez</v>
          </cell>
        </row>
        <row r="792">
          <cell r="W792" t="str">
            <v>M</v>
          </cell>
          <cell r="AD792" t="str">
            <v>Jonathan Jones</v>
          </cell>
        </row>
        <row r="793">
          <cell r="W793" t="str">
            <v>FEMALE</v>
          </cell>
          <cell r="AD793" t="str">
            <v>Gina Williams</v>
          </cell>
        </row>
        <row r="794">
          <cell r="W794" t="str">
            <v>FEMALE</v>
          </cell>
          <cell r="AD794" t="str">
            <v>Kelly Lawson</v>
          </cell>
        </row>
        <row r="795">
          <cell r="W795" t="str">
            <v>Male</v>
          </cell>
          <cell r="AD795" t="str">
            <v>Keith Smith</v>
          </cell>
        </row>
        <row r="796">
          <cell r="W796" t="str">
            <v>M</v>
          </cell>
          <cell r="AD796" t="str">
            <v>Christopher Hunter</v>
          </cell>
        </row>
        <row r="797">
          <cell r="W797" t="str">
            <v>m</v>
          </cell>
          <cell r="AD797" t="str">
            <v>Dwayne Parks</v>
          </cell>
        </row>
        <row r="798">
          <cell r="W798" t="str">
            <v>Female</v>
          </cell>
          <cell r="AD798" t="str">
            <v>Mary Hall</v>
          </cell>
        </row>
        <row r="799">
          <cell r="W799" t="str">
            <v>m</v>
          </cell>
          <cell r="AD799" t="str">
            <v>Jake Gilmore</v>
          </cell>
        </row>
        <row r="800">
          <cell r="W800" t="str">
            <v>M</v>
          </cell>
          <cell r="AD800" t="str">
            <v>Mark Lopez</v>
          </cell>
        </row>
        <row r="801">
          <cell r="W801" t="str">
            <v>female</v>
          </cell>
          <cell r="AD801" t="str">
            <v>Dana Rice</v>
          </cell>
        </row>
        <row r="802">
          <cell r="W802" t="str">
            <v>FEMALE</v>
          </cell>
          <cell r="AD802" t="str">
            <v>Beth Young</v>
          </cell>
        </row>
        <row r="803">
          <cell r="W803" t="str">
            <v>male</v>
          </cell>
          <cell r="AD803" t="str">
            <v>Ryan Powell</v>
          </cell>
        </row>
        <row r="804">
          <cell r="W804" t="str">
            <v>Female</v>
          </cell>
          <cell r="AD804" t="str">
            <v>Amanda Fowler</v>
          </cell>
        </row>
        <row r="805">
          <cell r="W805" t="str">
            <v>f</v>
          </cell>
          <cell r="AD805" t="str">
            <v>Lindsay Rivera</v>
          </cell>
        </row>
        <row r="806">
          <cell r="W806" t="str">
            <v>male</v>
          </cell>
          <cell r="AD806" t="str">
            <v>Mark Ward</v>
          </cell>
        </row>
        <row r="807">
          <cell r="W807" t="str">
            <v>f</v>
          </cell>
          <cell r="AD807" t="str">
            <v>Amanda Smith</v>
          </cell>
        </row>
        <row r="808">
          <cell r="W808" t="str">
            <v>FEMALE</v>
          </cell>
          <cell r="AD808" t="str">
            <v>Emily Brown</v>
          </cell>
        </row>
        <row r="809">
          <cell r="W809" t="str">
            <v>Male</v>
          </cell>
          <cell r="AD809" t="str">
            <v>Dwayne Cardenas</v>
          </cell>
        </row>
        <row r="810">
          <cell r="W810" t="str">
            <v>FEMALE</v>
          </cell>
          <cell r="AD810" t="str">
            <v xml:space="preserve"> Rhonda Hernandez</v>
          </cell>
        </row>
        <row r="811">
          <cell r="W811" t="str">
            <v>f</v>
          </cell>
          <cell r="AD811" t="str">
            <v>Melody Barker</v>
          </cell>
        </row>
        <row r="812">
          <cell r="W812" t="str">
            <v>M</v>
          </cell>
          <cell r="AD812" t="str">
            <v>Russell Carpenter</v>
          </cell>
        </row>
        <row r="813">
          <cell r="W813" t="str">
            <v>m</v>
          </cell>
          <cell r="AD813" t="str">
            <v>Richard Hill</v>
          </cell>
        </row>
        <row r="814">
          <cell r="W814" t="str">
            <v>f</v>
          </cell>
          <cell r="AD814" t="str">
            <v>Lindsay Potts</v>
          </cell>
        </row>
        <row r="815">
          <cell r="W815" t="str">
            <v>f</v>
          </cell>
          <cell r="AD815" t="str">
            <v>Michelle Campbell</v>
          </cell>
        </row>
        <row r="816">
          <cell r="W816" t="str">
            <v>m</v>
          </cell>
          <cell r="AD816" t="str">
            <v>Alan Williams</v>
          </cell>
        </row>
        <row r="817">
          <cell r="W817" t="str">
            <v>f</v>
          </cell>
          <cell r="AD817" t="str">
            <v>Robin Hinton</v>
          </cell>
        </row>
        <row r="818">
          <cell r="W818" t="str">
            <v>Male</v>
          </cell>
          <cell r="AD818" t="str">
            <v>Brian Holland</v>
          </cell>
        </row>
        <row r="819">
          <cell r="W819" t="str">
            <v>M</v>
          </cell>
          <cell r="AD819" t="str">
            <v>Adam Stone</v>
          </cell>
        </row>
        <row r="820">
          <cell r="W820" t="str">
            <v>Male</v>
          </cell>
          <cell r="AD820" t="str">
            <v>Curtis Lambert</v>
          </cell>
        </row>
        <row r="821">
          <cell r="W821" t="str">
            <v>Female</v>
          </cell>
          <cell r="AD821" t="str">
            <v>Alexandra Sims</v>
          </cell>
        </row>
        <row r="822">
          <cell r="W822" t="str">
            <v>female</v>
          </cell>
          <cell r="AD822" t="str">
            <v>Brenda Spencer</v>
          </cell>
        </row>
        <row r="823">
          <cell r="W823" t="str">
            <v>MALE</v>
          </cell>
          <cell r="AD823" t="str">
            <v>Joshua Bush</v>
          </cell>
        </row>
        <row r="824">
          <cell r="W824" t="str">
            <v>female</v>
          </cell>
          <cell r="AD824" t="str">
            <v>Erin Martin</v>
          </cell>
        </row>
        <row r="825">
          <cell r="W825" t="str">
            <v>male</v>
          </cell>
          <cell r="AD825" t="str">
            <v>Alexander Hogan</v>
          </cell>
        </row>
        <row r="826">
          <cell r="W826" t="str">
            <v>Male</v>
          </cell>
          <cell r="AD826" t="str">
            <v>William Harris</v>
          </cell>
        </row>
        <row r="827">
          <cell r="W827" t="str">
            <v>male</v>
          </cell>
          <cell r="AD827" t="str">
            <v>Michael Mcmahon</v>
          </cell>
        </row>
        <row r="828">
          <cell r="W828" t="str">
            <v>MALE</v>
          </cell>
          <cell r="AD828" t="str">
            <v>Michael Watson</v>
          </cell>
        </row>
        <row r="829">
          <cell r="W829" t="str">
            <v>f</v>
          </cell>
          <cell r="AD829" t="str">
            <v>Lori Perez</v>
          </cell>
        </row>
        <row r="830">
          <cell r="W830" t="str">
            <v>female</v>
          </cell>
          <cell r="AD830" t="str">
            <v>Lindsay Le</v>
          </cell>
        </row>
        <row r="831">
          <cell r="W831" t="str">
            <v>Male</v>
          </cell>
          <cell r="AD831" t="str">
            <v>Scott Long</v>
          </cell>
        </row>
        <row r="832">
          <cell r="W832" t="str">
            <v>Female</v>
          </cell>
          <cell r="AD832" t="str">
            <v>Diana Ferguson</v>
          </cell>
        </row>
        <row r="833">
          <cell r="W833" t="str">
            <v>male</v>
          </cell>
          <cell r="AD833" t="str">
            <v>Joseph Miller</v>
          </cell>
        </row>
        <row r="834">
          <cell r="W834" t="str">
            <v>Female</v>
          </cell>
          <cell r="AD834" t="str">
            <v>Julia Reid</v>
          </cell>
        </row>
        <row r="835">
          <cell r="W835" t="str">
            <v>Female</v>
          </cell>
          <cell r="AD835" t="str">
            <v>Samantha Matthews</v>
          </cell>
        </row>
        <row r="836">
          <cell r="W836" t="str">
            <v>male</v>
          </cell>
          <cell r="AD836" t="str">
            <v>Brian Bailey</v>
          </cell>
        </row>
        <row r="837">
          <cell r="W837" t="str">
            <v>female</v>
          </cell>
          <cell r="AD837" t="str">
            <v>Toni Hinton</v>
          </cell>
        </row>
        <row r="838">
          <cell r="W838" t="str">
            <v>F</v>
          </cell>
          <cell r="AD838" t="str">
            <v>Robin Ortiz</v>
          </cell>
        </row>
        <row r="839">
          <cell r="W839" t="str">
            <v>Male</v>
          </cell>
          <cell r="AD839" t="str">
            <v>Adam Griffith</v>
          </cell>
        </row>
        <row r="840">
          <cell r="W840" t="str">
            <v>m</v>
          </cell>
          <cell r="AD840" t="str">
            <v>Daniel Roberson</v>
          </cell>
        </row>
        <row r="841">
          <cell r="W841" t="str">
            <v>Male</v>
          </cell>
          <cell r="AD841" t="str">
            <v>Dale Haynes</v>
          </cell>
        </row>
        <row r="842">
          <cell r="W842" t="str">
            <v>f</v>
          </cell>
          <cell r="AD842" t="str">
            <v>Emily Scott</v>
          </cell>
        </row>
        <row r="843">
          <cell r="W843" t="str">
            <v>M</v>
          </cell>
          <cell r="AD843" t="str">
            <v>David Brown</v>
          </cell>
        </row>
        <row r="844">
          <cell r="W844" t="str">
            <v>F</v>
          </cell>
          <cell r="AD844" t="str">
            <v>Stephanie Guzman</v>
          </cell>
        </row>
        <row r="845">
          <cell r="W845" t="str">
            <v>MALE</v>
          </cell>
          <cell r="AD845" t="str">
            <v>Maxwell Johnson</v>
          </cell>
        </row>
        <row r="846">
          <cell r="W846" t="str">
            <v>M</v>
          </cell>
          <cell r="AD846" t="str">
            <v>Reginald Stephens</v>
          </cell>
        </row>
        <row r="847">
          <cell r="W847" t="str">
            <v>male</v>
          </cell>
          <cell r="AD847" t="str">
            <v>Justin Jones</v>
          </cell>
        </row>
        <row r="848">
          <cell r="W848" t="str">
            <v>F</v>
          </cell>
          <cell r="AD848" t="str">
            <v>Kristine Garcia</v>
          </cell>
        </row>
        <row r="849">
          <cell r="W849" t="str">
            <v>male</v>
          </cell>
          <cell r="AD849" t="str">
            <v>John Nguyen</v>
          </cell>
        </row>
        <row r="850">
          <cell r="W850" t="str">
            <v>female</v>
          </cell>
          <cell r="AD850" t="str">
            <v>Anna Fleming</v>
          </cell>
        </row>
        <row r="851">
          <cell r="W851" t="str">
            <v>FEMALE</v>
          </cell>
          <cell r="AD851" t="str">
            <v>Linda Williamson</v>
          </cell>
        </row>
        <row r="852">
          <cell r="W852" t="str">
            <v>Male</v>
          </cell>
          <cell r="AD852" t="str">
            <v>Roy Wilson</v>
          </cell>
        </row>
        <row r="853">
          <cell r="W853" t="str">
            <v>f</v>
          </cell>
          <cell r="AD853" t="str">
            <v>Jennifer Pierce</v>
          </cell>
        </row>
        <row r="854">
          <cell r="W854" t="str">
            <v>Male</v>
          </cell>
          <cell r="AD854" t="str">
            <v>Jason Johnson</v>
          </cell>
        </row>
        <row r="855">
          <cell r="W855" t="str">
            <v>Female</v>
          </cell>
          <cell r="AD855" t="str">
            <v>Jasmine Lane</v>
          </cell>
        </row>
        <row r="856">
          <cell r="W856" t="str">
            <v>m</v>
          </cell>
          <cell r="AD856" t="str">
            <v>Evan Soto</v>
          </cell>
        </row>
        <row r="857">
          <cell r="W857" t="str">
            <v>Male</v>
          </cell>
          <cell r="AD857" t="str">
            <v>Kevin Serrano</v>
          </cell>
        </row>
        <row r="858">
          <cell r="W858" t="str">
            <v>MALE</v>
          </cell>
          <cell r="AD858" t="str">
            <v>Nathaniel Benson</v>
          </cell>
        </row>
        <row r="859">
          <cell r="W859" t="str">
            <v>f</v>
          </cell>
          <cell r="AD859" t="str">
            <v>Deanna Miles</v>
          </cell>
        </row>
        <row r="860">
          <cell r="W860" t="str">
            <v>Female</v>
          </cell>
          <cell r="AD860" t="str">
            <v>Beverly Roy</v>
          </cell>
        </row>
        <row r="861">
          <cell r="W861" t="str">
            <v>F</v>
          </cell>
          <cell r="AD861" t="str">
            <v>Heather Saunders</v>
          </cell>
        </row>
        <row r="862">
          <cell r="W862" t="str">
            <v>m</v>
          </cell>
          <cell r="AD862" t="str">
            <v>Nicholas Guerrero</v>
          </cell>
        </row>
        <row r="863">
          <cell r="W863" t="str">
            <v>Male</v>
          </cell>
          <cell r="AD863" t="str">
            <v>Christopher Johnson</v>
          </cell>
        </row>
        <row r="864">
          <cell r="W864" t="str">
            <v>M</v>
          </cell>
          <cell r="AD864" t="str">
            <v>Steven Flowers</v>
          </cell>
        </row>
        <row r="865">
          <cell r="W865" t="str">
            <v>male</v>
          </cell>
          <cell r="AD865" t="str">
            <v>Marvin Woods III</v>
          </cell>
        </row>
        <row r="866">
          <cell r="W866" t="str">
            <v>FEMALE</v>
          </cell>
          <cell r="AD866" t="str">
            <v>Michelle Cook</v>
          </cell>
        </row>
        <row r="867">
          <cell r="W867" t="str">
            <v>MALE</v>
          </cell>
          <cell r="AD867" t="str">
            <v>Logan Zamora</v>
          </cell>
        </row>
        <row r="868">
          <cell r="W868" t="str">
            <v>m</v>
          </cell>
          <cell r="AD868" t="str">
            <v>Casey Roberts</v>
          </cell>
        </row>
        <row r="869">
          <cell r="W869" t="str">
            <v>Male</v>
          </cell>
          <cell r="AD869" t="str">
            <v>Jerry Price</v>
          </cell>
        </row>
        <row r="870">
          <cell r="W870" t="str">
            <v>f</v>
          </cell>
          <cell r="AD870" t="str">
            <v>Kelly Ellis</v>
          </cell>
        </row>
        <row r="871">
          <cell r="W871" t="str">
            <v>MALE</v>
          </cell>
          <cell r="AD871" t="str">
            <v>Caleb Guerra</v>
          </cell>
        </row>
        <row r="872">
          <cell r="W872" t="str">
            <v>F</v>
          </cell>
          <cell r="AD872" t="str">
            <v>Samantha Norman</v>
          </cell>
        </row>
        <row r="873">
          <cell r="W873" t="str">
            <v>f</v>
          </cell>
          <cell r="AD873" t="str">
            <v>Sarah Clarke</v>
          </cell>
        </row>
        <row r="874">
          <cell r="W874" t="str">
            <v>MALE</v>
          </cell>
          <cell r="AD874" t="str">
            <v>Aaron Blair</v>
          </cell>
        </row>
        <row r="875">
          <cell r="W875" t="str">
            <v>Female</v>
          </cell>
          <cell r="AD875" t="str">
            <v>Courtney Burton</v>
          </cell>
        </row>
        <row r="876">
          <cell r="W876" t="str">
            <v>M</v>
          </cell>
          <cell r="AD876" t="str">
            <v>Gerald Taylor</v>
          </cell>
        </row>
        <row r="877">
          <cell r="W877" t="str">
            <v>f</v>
          </cell>
          <cell r="AD877" t="str">
            <v>Mary Ward</v>
          </cell>
        </row>
        <row r="878">
          <cell r="W878" t="str">
            <v>female</v>
          </cell>
          <cell r="AD878" t="str">
            <v>Lisa Beard</v>
          </cell>
        </row>
        <row r="879">
          <cell r="W879" t="str">
            <v>Male</v>
          </cell>
          <cell r="AD879" t="str">
            <v>Larry Wallace</v>
          </cell>
        </row>
        <row r="880">
          <cell r="W880" t="str">
            <v>Male</v>
          </cell>
          <cell r="AD880" t="str">
            <v>Jeremiah Thompson</v>
          </cell>
        </row>
        <row r="881">
          <cell r="W881" t="str">
            <v>FEMALE</v>
          </cell>
          <cell r="AD881" t="str">
            <v>Jessica Williams</v>
          </cell>
        </row>
        <row r="882">
          <cell r="W882" t="str">
            <v>male</v>
          </cell>
          <cell r="AD882" t="str">
            <v>Martin Moreno</v>
          </cell>
        </row>
        <row r="883">
          <cell r="W883" t="str">
            <v>FEMALE</v>
          </cell>
          <cell r="AD883" t="str">
            <v>Yolanda Proctor</v>
          </cell>
        </row>
        <row r="884">
          <cell r="W884" t="str">
            <v>male</v>
          </cell>
          <cell r="AD884" t="str">
            <v>Allen Turner</v>
          </cell>
        </row>
        <row r="885">
          <cell r="W885" t="str">
            <v>F</v>
          </cell>
          <cell r="AD885" t="str">
            <v>Beth Huff</v>
          </cell>
        </row>
        <row r="886">
          <cell r="W886" t="str">
            <v>MALE</v>
          </cell>
          <cell r="AD886" t="str">
            <v>John Mckinney</v>
          </cell>
        </row>
        <row r="887">
          <cell r="W887" t="str">
            <v>F</v>
          </cell>
          <cell r="AD887" t="str">
            <v>Sarah Ho</v>
          </cell>
        </row>
        <row r="888">
          <cell r="W888" t="str">
            <v>F</v>
          </cell>
          <cell r="AD888" t="str">
            <v>Lindsey Wang</v>
          </cell>
        </row>
        <row r="889">
          <cell r="W889" t="str">
            <v>Female</v>
          </cell>
          <cell r="AD889" t="str">
            <v>Margaret Schwartz</v>
          </cell>
        </row>
        <row r="890">
          <cell r="W890" t="str">
            <v>male</v>
          </cell>
          <cell r="AD890" t="str">
            <v>Kyle Ray</v>
          </cell>
        </row>
        <row r="891">
          <cell r="W891" t="str">
            <v>MALE</v>
          </cell>
          <cell r="AD891" t="str">
            <v>Isaac Hebert</v>
          </cell>
        </row>
        <row r="892">
          <cell r="W892" t="str">
            <v>f</v>
          </cell>
          <cell r="AD892" t="str">
            <v>Michele Jones</v>
          </cell>
        </row>
        <row r="893">
          <cell r="W893" t="str">
            <v>Male</v>
          </cell>
          <cell r="AD893" t="str">
            <v>Austin Allen</v>
          </cell>
        </row>
        <row r="894">
          <cell r="W894" t="str">
            <v>f</v>
          </cell>
          <cell r="AD894" t="str">
            <v>Haley Castro</v>
          </cell>
        </row>
        <row r="895">
          <cell r="W895" t="str">
            <v>Male</v>
          </cell>
          <cell r="AD895" t="str">
            <v>David Armstrong</v>
          </cell>
        </row>
        <row r="896">
          <cell r="W896" t="str">
            <v>f</v>
          </cell>
          <cell r="AD896" t="str">
            <v>Wendy Mitchell</v>
          </cell>
        </row>
        <row r="897">
          <cell r="W897" t="str">
            <v>MALE</v>
          </cell>
          <cell r="AD897" t="str">
            <v>Anthony Hernandez</v>
          </cell>
        </row>
        <row r="898">
          <cell r="W898" t="str">
            <v>female</v>
          </cell>
          <cell r="AD898" t="str">
            <v>Erica Johnson</v>
          </cell>
        </row>
        <row r="899">
          <cell r="W899" t="str">
            <v>Male</v>
          </cell>
          <cell r="AD899" t="str">
            <v>Randall Barrett</v>
          </cell>
        </row>
        <row r="900">
          <cell r="W900" t="str">
            <v>male</v>
          </cell>
          <cell r="AD900" t="str">
            <v>Nathan Huff</v>
          </cell>
        </row>
        <row r="901">
          <cell r="W901" t="str">
            <v>f</v>
          </cell>
          <cell r="AD901" t="str">
            <v>Robin Walsh</v>
          </cell>
        </row>
        <row r="902">
          <cell r="W902" t="str">
            <v>Female</v>
          </cell>
          <cell r="AD902" t="str">
            <v>Yvonne Robinson</v>
          </cell>
        </row>
        <row r="903">
          <cell r="W903" t="str">
            <v>Female</v>
          </cell>
          <cell r="AD903" t="str">
            <v>Kathleen Hendrix</v>
          </cell>
        </row>
        <row r="904">
          <cell r="W904" t="str">
            <v>FEMALE</v>
          </cell>
          <cell r="AD904" t="str">
            <v>Jennifer Baker</v>
          </cell>
        </row>
        <row r="905">
          <cell r="W905" t="str">
            <v>female</v>
          </cell>
          <cell r="AD905" t="str">
            <v>Kim Martinez</v>
          </cell>
        </row>
        <row r="906">
          <cell r="W906" t="str">
            <v>male</v>
          </cell>
          <cell r="AD906" t="str">
            <v>Andrew Little</v>
          </cell>
        </row>
        <row r="907">
          <cell r="W907" t="str">
            <v>female</v>
          </cell>
          <cell r="AD907" t="str">
            <v>Kelly Shelton</v>
          </cell>
        </row>
        <row r="908">
          <cell r="W908" t="str">
            <v>Male</v>
          </cell>
          <cell r="AD908" t="str">
            <v>Steven Duncan</v>
          </cell>
        </row>
        <row r="909">
          <cell r="W909" t="str">
            <v>Female</v>
          </cell>
          <cell r="AD909" t="str">
            <v>Kristen Haney</v>
          </cell>
        </row>
        <row r="910">
          <cell r="W910" t="str">
            <v>f</v>
          </cell>
          <cell r="AD910" t="str">
            <v>Kathy Reese</v>
          </cell>
        </row>
        <row r="911">
          <cell r="W911" t="str">
            <v>MALE</v>
          </cell>
          <cell r="AD911" t="str">
            <v>Steven Murphy</v>
          </cell>
        </row>
        <row r="912">
          <cell r="W912" t="str">
            <v>M</v>
          </cell>
          <cell r="AD912" t="str">
            <v>William Hartman</v>
          </cell>
        </row>
        <row r="913">
          <cell r="W913" t="str">
            <v>female</v>
          </cell>
          <cell r="AD913" t="str">
            <v>Sonya Haley</v>
          </cell>
        </row>
        <row r="914">
          <cell r="W914" t="str">
            <v>MALE</v>
          </cell>
          <cell r="AD914" t="str">
            <v>Robert Evans</v>
          </cell>
        </row>
        <row r="915">
          <cell r="W915" t="str">
            <v>f</v>
          </cell>
          <cell r="AD915" t="str">
            <v>Patricia Richardson</v>
          </cell>
        </row>
        <row r="916">
          <cell r="W916" t="str">
            <v>female</v>
          </cell>
          <cell r="AD916" t="str">
            <v>Carolyn Lopez</v>
          </cell>
        </row>
        <row r="917">
          <cell r="W917" t="str">
            <v>M</v>
          </cell>
          <cell r="AD917" t="str">
            <v>Kyle Burns</v>
          </cell>
        </row>
        <row r="918">
          <cell r="W918" t="str">
            <v>f</v>
          </cell>
          <cell r="AD918" t="str">
            <v>Margaret Garcia</v>
          </cell>
        </row>
        <row r="919">
          <cell r="W919" t="str">
            <v>female</v>
          </cell>
          <cell r="AD919" t="str">
            <v>Brittany Barker</v>
          </cell>
        </row>
        <row r="920">
          <cell r="W920" t="str">
            <v>male</v>
          </cell>
          <cell r="AD920" t="str">
            <v>Paul Campbell</v>
          </cell>
        </row>
        <row r="921">
          <cell r="W921" t="str">
            <v>female</v>
          </cell>
          <cell r="AD921" t="str">
            <v>Amy Morrow</v>
          </cell>
        </row>
        <row r="922">
          <cell r="W922" t="str">
            <v>f</v>
          </cell>
          <cell r="AD922" t="str">
            <v>Amy Fitzgerald</v>
          </cell>
        </row>
        <row r="923">
          <cell r="W923" t="str">
            <v>female</v>
          </cell>
          <cell r="AD923" t="str">
            <v>Anita Becker</v>
          </cell>
        </row>
        <row r="924">
          <cell r="W924" t="str">
            <v>F</v>
          </cell>
          <cell r="AD924" t="str">
            <v>Amy Brooks</v>
          </cell>
        </row>
        <row r="925">
          <cell r="W925" t="str">
            <v>FEMALE</v>
          </cell>
          <cell r="AD925" t="str">
            <v>Lori Marshall</v>
          </cell>
        </row>
        <row r="926">
          <cell r="W926" t="str">
            <v>Female</v>
          </cell>
          <cell r="AD926" t="str">
            <v>Jennifer Miller</v>
          </cell>
        </row>
        <row r="927">
          <cell r="W927" t="str">
            <v>MALE</v>
          </cell>
          <cell r="AD927" t="str">
            <v>Thomas Young</v>
          </cell>
        </row>
        <row r="928">
          <cell r="W928" t="str">
            <v>M</v>
          </cell>
          <cell r="AD928" t="str">
            <v>Zachary Larsen</v>
          </cell>
        </row>
        <row r="929">
          <cell r="W929" t="str">
            <v>F</v>
          </cell>
          <cell r="AD929" t="str">
            <v>Valerie Gutierrez</v>
          </cell>
        </row>
        <row r="930">
          <cell r="W930" t="str">
            <v>MALE</v>
          </cell>
          <cell r="AD930" t="str">
            <v>Daniel Parker</v>
          </cell>
        </row>
        <row r="931">
          <cell r="W931" t="str">
            <v>Female</v>
          </cell>
          <cell r="AD931" t="str">
            <v>Nicole Bennett</v>
          </cell>
        </row>
        <row r="932">
          <cell r="W932" t="str">
            <v>Female</v>
          </cell>
          <cell r="AD932" t="str">
            <v>Lauren Lowery</v>
          </cell>
        </row>
        <row r="933">
          <cell r="W933" t="str">
            <v>male</v>
          </cell>
          <cell r="AD933" t="str">
            <v>Alexander Woodward</v>
          </cell>
        </row>
        <row r="934">
          <cell r="W934" t="str">
            <v>MALE</v>
          </cell>
          <cell r="AD934" t="str">
            <v>Anthony Walter</v>
          </cell>
        </row>
        <row r="935">
          <cell r="W935" t="str">
            <v>female</v>
          </cell>
          <cell r="AD935" t="str">
            <v>Valerie Finley</v>
          </cell>
        </row>
        <row r="936">
          <cell r="W936" t="str">
            <v>f</v>
          </cell>
          <cell r="AD936" t="str">
            <v>Deborah Kelley</v>
          </cell>
        </row>
        <row r="937">
          <cell r="W937" t="str">
            <v>F</v>
          </cell>
          <cell r="AD937" t="str">
            <v>Kristina Miller</v>
          </cell>
        </row>
        <row r="938">
          <cell r="W938" t="str">
            <v>f</v>
          </cell>
          <cell r="AD938" t="str">
            <v>Anne Hampton</v>
          </cell>
        </row>
        <row r="939">
          <cell r="W939" t="str">
            <v>Female</v>
          </cell>
          <cell r="AD939" t="str">
            <v>Sandra Henry</v>
          </cell>
        </row>
        <row r="940">
          <cell r="W940" t="str">
            <v>MALE</v>
          </cell>
          <cell r="AD940" t="str">
            <v>Tony Hester</v>
          </cell>
        </row>
        <row r="941">
          <cell r="W941" t="str">
            <v>MALE</v>
          </cell>
          <cell r="AD941" t="str">
            <v>Nathan Davis</v>
          </cell>
        </row>
        <row r="942">
          <cell r="W942" t="str">
            <v>Female</v>
          </cell>
          <cell r="AD942" t="str">
            <v>Erica Jackson</v>
          </cell>
        </row>
        <row r="943">
          <cell r="W943" t="str">
            <v>FEMALE</v>
          </cell>
          <cell r="AD943" t="str">
            <v>Nancy Glover</v>
          </cell>
        </row>
        <row r="944">
          <cell r="W944" t="str">
            <v>MALE</v>
          </cell>
          <cell r="AD944" t="str">
            <v>Richard Sanchez</v>
          </cell>
        </row>
        <row r="945">
          <cell r="W945" t="str">
            <v>f</v>
          </cell>
          <cell r="AD945" t="str">
            <v>Savannah Reid</v>
          </cell>
        </row>
        <row r="946">
          <cell r="W946" t="str">
            <v>m</v>
          </cell>
          <cell r="AD946" t="str">
            <v>Robert Salazar</v>
          </cell>
        </row>
        <row r="947">
          <cell r="W947" t="str">
            <v>m</v>
          </cell>
          <cell r="AD947" t="str">
            <v>Hector Greer</v>
          </cell>
        </row>
        <row r="948">
          <cell r="W948" t="str">
            <v>M</v>
          </cell>
          <cell r="AD948" t="str">
            <v>Thomas Jackson</v>
          </cell>
        </row>
        <row r="949">
          <cell r="W949" t="str">
            <v>F</v>
          </cell>
          <cell r="AD949" t="str">
            <v>Tina Clark</v>
          </cell>
        </row>
        <row r="950">
          <cell r="W950" t="str">
            <v>Female</v>
          </cell>
          <cell r="AD950" t="str">
            <v>Heather Brown</v>
          </cell>
        </row>
        <row r="951">
          <cell r="W951" t="str">
            <v>m</v>
          </cell>
          <cell r="AD951" t="str">
            <v>John Weaver</v>
          </cell>
        </row>
        <row r="952">
          <cell r="W952" t="str">
            <v>Male</v>
          </cell>
          <cell r="AD952" t="str">
            <v>Bradley Harris</v>
          </cell>
        </row>
        <row r="953">
          <cell r="W953" t="str">
            <v>f</v>
          </cell>
          <cell r="AD953" t="str">
            <v>Cassandra Macdonald</v>
          </cell>
        </row>
        <row r="954">
          <cell r="W954" t="str">
            <v>m</v>
          </cell>
          <cell r="AD954" t="str">
            <v>Matthew White</v>
          </cell>
        </row>
        <row r="955">
          <cell r="W955" t="str">
            <v>F</v>
          </cell>
          <cell r="AD955" t="str">
            <v>Miss Kimberly Marshall</v>
          </cell>
        </row>
        <row r="956">
          <cell r="W956" t="str">
            <v>Female</v>
          </cell>
          <cell r="AD956" t="str">
            <v>Laura Thompson</v>
          </cell>
        </row>
        <row r="957">
          <cell r="W957" t="str">
            <v>Male</v>
          </cell>
          <cell r="AD957" t="str">
            <v>Nathan Soto</v>
          </cell>
        </row>
        <row r="958">
          <cell r="W958" t="str">
            <v>F</v>
          </cell>
          <cell r="AD958" t="str">
            <v>Rhonda Hines</v>
          </cell>
        </row>
        <row r="959">
          <cell r="W959" t="str">
            <v>F</v>
          </cell>
          <cell r="AD959" t="str">
            <v>Gabrielle Bowman</v>
          </cell>
        </row>
        <row r="960">
          <cell r="W960" t="str">
            <v>M</v>
          </cell>
          <cell r="AD960" t="str">
            <v>Julian Edwards</v>
          </cell>
        </row>
        <row r="961">
          <cell r="W961" t="str">
            <v>male</v>
          </cell>
          <cell r="AD961" t="str">
            <v>Nicholas Scott</v>
          </cell>
        </row>
        <row r="962">
          <cell r="W962" t="str">
            <v>MALE</v>
          </cell>
          <cell r="AD962" t="str">
            <v>Daniel Green</v>
          </cell>
        </row>
        <row r="963">
          <cell r="W963" t="str">
            <v>f</v>
          </cell>
          <cell r="AD963" t="str">
            <v>Catherine Johnston</v>
          </cell>
        </row>
        <row r="964">
          <cell r="W964" t="str">
            <v>FEMALE</v>
          </cell>
          <cell r="AD964" t="str">
            <v>Brenda Koch</v>
          </cell>
        </row>
        <row r="965">
          <cell r="W965" t="str">
            <v>male</v>
          </cell>
          <cell r="AD965" t="str">
            <v xml:space="preserve"> Robert Meza</v>
          </cell>
        </row>
        <row r="966">
          <cell r="W966" t="str">
            <v>Female</v>
          </cell>
          <cell r="AD966" t="str">
            <v>Latoya Brown</v>
          </cell>
        </row>
        <row r="967">
          <cell r="W967" t="str">
            <v>m</v>
          </cell>
          <cell r="AD967" t="str">
            <v>David Osborne III</v>
          </cell>
        </row>
        <row r="968">
          <cell r="W968" t="str">
            <v>MALE</v>
          </cell>
          <cell r="AD968" t="str">
            <v>David Hooper</v>
          </cell>
        </row>
        <row r="969">
          <cell r="W969" t="str">
            <v>FEMALE</v>
          </cell>
          <cell r="AD969" t="str">
            <v>Sarah Miller</v>
          </cell>
        </row>
        <row r="970">
          <cell r="W970" t="str">
            <v>Female</v>
          </cell>
          <cell r="AD970" t="str">
            <v>Lisa Werner MD</v>
          </cell>
        </row>
        <row r="971">
          <cell r="W971" t="str">
            <v>m</v>
          </cell>
          <cell r="AD971" t="str">
            <v>Eric Jimenez</v>
          </cell>
        </row>
        <row r="972">
          <cell r="W972" t="str">
            <v>m</v>
          </cell>
          <cell r="AD972" t="str">
            <v>Jay Bush</v>
          </cell>
        </row>
        <row r="973">
          <cell r="W973" t="str">
            <v>m</v>
          </cell>
          <cell r="AD973" t="str">
            <v>Johnny Rice</v>
          </cell>
        </row>
        <row r="974">
          <cell r="W974" t="str">
            <v>MALE</v>
          </cell>
          <cell r="AD974" t="str">
            <v>Matthew Strong</v>
          </cell>
        </row>
        <row r="975">
          <cell r="W975" t="str">
            <v>MALE</v>
          </cell>
          <cell r="AD975" t="str">
            <v>Mark Chandler</v>
          </cell>
        </row>
        <row r="976">
          <cell r="W976" t="str">
            <v>female</v>
          </cell>
          <cell r="AD976" t="str">
            <v>Crystal Brown</v>
          </cell>
        </row>
        <row r="977">
          <cell r="W977" t="str">
            <v>male</v>
          </cell>
          <cell r="AD977" t="str">
            <v>Timothy Barton</v>
          </cell>
        </row>
        <row r="978">
          <cell r="W978" t="str">
            <v>F</v>
          </cell>
          <cell r="AD978" t="str">
            <v>Lisa Hickman</v>
          </cell>
        </row>
        <row r="979">
          <cell r="W979" t="str">
            <v>Male</v>
          </cell>
          <cell r="AD979" t="str">
            <v>Alan Mendoza</v>
          </cell>
        </row>
        <row r="980">
          <cell r="W980" t="str">
            <v>MALE</v>
          </cell>
          <cell r="AD980" t="str">
            <v>Jason Sanders</v>
          </cell>
        </row>
        <row r="981">
          <cell r="W981" t="str">
            <v>m</v>
          </cell>
          <cell r="AD981" t="str">
            <v>Charles Dean</v>
          </cell>
        </row>
        <row r="982">
          <cell r="W982" t="str">
            <v>male</v>
          </cell>
          <cell r="AD982" t="str">
            <v>Blake Newton</v>
          </cell>
        </row>
        <row r="983">
          <cell r="W983" t="str">
            <v>M</v>
          </cell>
          <cell r="AD983" t="str">
            <v>David Gonzalez</v>
          </cell>
        </row>
        <row r="984">
          <cell r="W984" t="str">
            <v>Female</v>
          </cell>
          <cell r="AD984" t="str">
            <v>Cindy Williams</v>
          </cell>
        </row>
        <row r="985">
          <cell r="W985" t="str">
            <v>female</v>
          </cell>
          <cell r="AD985" t="str">
            <v>Laura Wong DDS</v>
          </cell>
        </row>
        <row r="986">
          <cell r="W986" t="str">
            <v>m</v>
          </cell>
          <cell r="AD986" t="str">
            <v>Robert Moran</v>
          </cell>
        </row>
        <row r="987">
          <cell r="W987" t="str">
            <v>m</v>
          </cell>
          <cell r="AD987" t="str">
            <v>Bradley Wu</v>
          </cell>
        </row>
        <row r="988">
          <cell r="W988" t="str">
            <v>Male</v>
          </cell>
          <cell r="AD988" t="str">
            <v>Daniel Thomas</v>
          </cell>
        </row>
        <row r="989">
          <cell r="W989" t="str">
            <v>FEMALE</v>
          </cell>
          <cell r="AD989" t="str">
            <v>Michelle Peterson</v>
          </cell>
        </row>
        <row r="990">
          <cell r="W990" t="str">
            <v>Male</v>
          </cell>
          <cell r="AD990" t="str">
            <v>Seth Thomas</v>
          </cell>
        </row>
        <row r="991">
          <cell r="W991" t="str">
            <v>Male</v>
          </cell>
          <cell r="AD991" t="str">
            <v>Evan Ramos</v>
          </cell>
        </row>
        <row r="992">
          <cell r="W992" t="str">
            <v>FEMALE</v>
          </cell>
          <cell r="AD992" t="str">
            <v>Michelle Solis</v>
          </cell>
        </row>
        <row r="993">
          <cell r="W993" t="str">
            <v>FEMALE</v>
          </cell>
          <cell r="AD993" t="str">
            <v>Charlotte Taylor</v>
          </cell>
        </row>
        <row r="994">
          <cell r="W994" t="str">
            <v>Female</v>
          </cell>
          <cell r="AD994" t="str">
            <v>Sandra Preston</v>
          </cell>
        </row>
        <row r="995">
          <cell r="W995" t="str">
            <v>male</v>
          </cell>
          <cell r="AD995" t="str">
            <v>Jim Weiss</v>
          </cell>
        </row>
        <row r="996">
          <cell r="W996" t="str">
            <v>Female</v>
          </cell>
          <cell r="AD996" t="str">
            <v>Jennifer Hinton</v>
          </cell>
        </row>
        <row r="997">
          <cell r="W997" t="str">
            <v>Male</v>
          </cell>
          <cell r="AD997" t="str">
            <v>Albert Wilcox</v>
          </cell>
        </row>
        <row r="998">
          <cell r="W998" t="str">
            <v>f</v>
          </cell>
          <cell r="AD998" t="str">
            <v>Cheryl Norris</v>
          </cell>
        </row>
        <row r="999">
          <cell r="W999" t="str">
            <v>female</v>
          </cell>
          <cell r="AD999" t="str">
            <v>Kathy Watkins</v>
          </cell>
        </row>
        <row r="1000">
          <cell r="W1000" t="str">
            <v>m</v>
          </cell>
          <cell r="AD1000" t="str">
            <v>John Obrien</v>
          </cell>
        </row>
        <row r="1001">
          <cell r="W1001" t="str">
            <v>Female</v>
          </cell>
          <cell r="AD1001" t="str">
            <v>Dawn Green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3">
          <cell r="K3">
            <v>0.84</v>
          </cell>
        </row>
        <row r="4">
          <cell r="K4">
            <v>0.71</v>
          </cell>
        </row>
        <row r="5">
          <cell r="K5">
            <v>0.9</v>
          </cell>
        </row>
        <row r="6">
          <cell r="K6">
            <v>0.83</v>
          </cell>
        </row>
        <row r="8">
          <cell r="K8">
            <v>0.94</v>
          </cell>
        </row>
        <row r="9">
          <cell r="K9">
            <v>0.94</v>
          </cell>
        </row>
        <row r="10">
          <cell r="K10">
            <v>0.76</v>
          </cell>
        </row>
        <row r="12">
          <cell r="K12">
            <v>0.77</v>
          </cell>
        </row>
        <row r="13">
          <cell r="K13">
            <v>0.86</v>
          </cell>
        </row>
        <row r="14">
          <cell r="K14">
            <v>0.86</v>
          </cell>
        </row>
        <row r="15">
          <cell r="K15">
            <v>0.93</v>
          </cell>
        </row>
        <row r="16">
          <cell r="K16">
            <v>0.7</v>
          </cell>
        </row>
        <row r="17">
          <cell r="K17">
            <v>0.69</v>
          </cell>
        </row>
        <row r="18">
          <cell r="K18">
            <v>0.6</v>
          </cell>
        </row>
        <row r="19">
          <cell r="K19">
            <v>0.87</v>
          </cell>
        </row>
        <row r="20">
          <cell r="K20">
            <v>0.75</v>
          </cell>
        </row>
        <row r="21">
          <cell r="K21">
            <v>0.68</v>
          </cell>
        </row>
        <row r="22">
          <cell r="K22">
            <v>0.65</v>
          </cell>
        </row>
        <row r="23">
          <cell r="K23">
            <v>0.69</v>
          </cell>
        </row>
        <row r="25">
          <cell r="K25">
            <v>1</v>
          </cell>
        </row>
        <row r="26">
          <cell r="K26">
            <v>92</v>
          </cell>
        </row>
        <row r="27">
          <cell r="K27">
            <v>0.7</v>
          </cell>
        </row>
        <row r="28">
          <cell r="K28">
            <v>0.89</v>
          </cell>
        </row>
        <row r="29">
          <cell r="K29">
            <v>0.86</v>
          </cell>
        </row>
        <row r="30">
          <cell r="K30">
            <v>0.62</v>
          </cell>
        </row>
        <row r="33">
          <cell r="K33">
            <v>0.68</v>
          </cell>
        </row>
        <row r="34">
          <cell r="K34">
            <v>0.76</v>
          </cell>
        </row>
        <row r="35">
          <cell r="K35">
            <v>82</v>
          </cell>
        </row>
        <row r="36">
          <cell r="K36">
            <v>0.81</v>
          </cell>
        </row>
        <row r="38">
          <cell r="K38">
            <v>0.63</v>
          </cell>
        </row>
        <row r="39">
          <cell r="K39">
            <v>0.67</v>
          </cell>
        </row>
        <row r="41">
          <cell r="K41">
            <v>0.8</v>
          </cell>
        </row>
        <row r="43">
          <cell r="K43">
            <v>0.84</v>
          </cell>
        </row>
        <row r="45">
          <cell r="K45">
            <v>0.63</v>
          </cell>
        </row>
        <row r="46">
          <cell r="K46">
            <v>0.8</v>
          </cell>
        </row>
        <row r="47">
          <cell r="K47">
            <v>0.74</v>
          </cell>
        </row>
        <row r="48">
          <cell r="K48">
            <v>0.85</v>
          </cell>
        </row>
        <row r="49">
          <cell r="K49">
            <v>0.77</v>
          </cell>
        </row>
        <row r="51">
          <cell r="K51">
            <v>0.63</v>
          </cell>
        </row>
        <row r="52">
          <cell r="K52">
            <v>0.79</v>
          </cell>
        </row>
        <row r="54">
          <cell r="K54">
            <v>0.68</v>
          </cell>
        </row>
        <row r="55">
          <cell r="K55">
            <v>0.68</v>
          </cell>
        </row>
        <row r="56">
          <cell r="K56">
            <v>0.72</v>
          </cell>
        </row>
        <row r="57">
          <cell r="K57">
            <v>0.65</v>
          </cell>
        </row>
        <row r="58">
          <cell r="K58">
            <v>0.76</v>
          </cell>
        </row>
        <row r="59">
          <cell r="K59">
            <v>0.9</v>
          </cell>
        </row>
        <row r="60">
          <cell r="K60">
            <v>0.65</v>
          </cell>
        </row>
        <row r="61">
          <cell r="K61">
            <v>0.63</v>
          </cell>
        </row>
        <row r="64">
          <cell r="K64">
            <v>0.93</v>
          </cell>
        </row>
        <row r="65">
          <cell r="K65">
            <v>0.7</v>
          </cell>
        </row>
        <row r="66">
          <cell r="K66">
            <v>0.83</v>
          </cell>
        </row>
        <row r="67">
          <cell r="K67">
            <v>64</v>
          </cell>
        </row>
        <row r="68">
          <cell r="K68">
            <v>1</v>
          </cell>
        </row>
        <row r="71">
          <cell r="K71">
            <v>0.71</v>
          </cell>
        </row>
        <row r="72">
          <cell r="K72">
            <v>0.84</v>
          </cell>
        </row>
        <row r="74">
          <cell r="K74">
            <v>0.69</v>
          </cell>
        </row>
        <row r="75">
          <cell r="K75">
            <v>88</v>
          </cell>
        </row>
        <row r="77">
          <cell r="K77">
            <v>0.96</v>
          </cell>
        </row>
        <row r="78">
          <cell r="K78">
            <v>96</v>
          </cell>
        </row>
        <row r="80">
          <cell r="K80">
            <v>0.89</v>
          </cell>
        </row>
        <row r="82">
          <cell r="K82">
            <v>0.63</v>
          </cell>
        </row>
        <row r="83">
          <cell r="K83">
            <v>81</v>
          </cell>
        </row>
        <row r="84">
          <cell r="K84">
            <v>0.74</v>
          </cell>
        </row>
        <row r="85">
          <cell r="K85">
            <v>0.72</v>
          </cell>
        </row>
        <row r="87">
          <cell r="K87">
            <v>0.85</v>
          </cell>
        </row>
        <row r="89">
          <cell r="K89">
            <v>0.61</v>
          </cell>
        </row>
        <row r="91">
          <cell r="K91">
            <v>0.86</v>
          </cell>
        </row>
        <row r="92">
          <cell r="K92">
            <v>0.97</v>
          </cell>
        </row>
        <row r="93">
          <cell r="K93">
            <v>0.63</v>
          </cell>
        </row>
        <row r="94">
          <cell r="K94">
            <v>0.97</v>
          </cell>
        </row>
        <row r="95">
          <cell r="K95">
            <v>0.81</v>
          </cell>
        </row>
        <row r="96">
          <cell r="K96">
            <v>0.69</v>
          </cell>
        </row>
        <row r="97">
          <cell r="K97">
            <v>0.64</v>
          </cell>
        </row>
        <row r="98">
          <cell r="K98">
            <v>0.77</v>
          </cell>
        </row>
        <row r="99">
          <cell r="K99">
            <v>96</v>
          </cell>
        </row>
        <row r="100">
          <cell r="K100">
            <v>0.74</v>
          </cell>
        </row>
        <row r="101">
          <cell r="K101">
            <v>0.89</v>
          </cell>
        </row>
        <row r="102">
          <cell r="K102">
            <v>0.64</v>
          </cell>
        </row>
        <row r="103">
          <cell r="K103">
            <v>64</v>
          </cell>
        </row>
        <row r="104">
          <cell r="K104">
            <v>0.73</v>
          </cell>
        </row>
        <row r="105">
          <cell r="K105">
            <v>0.68</v>
          </cell>
        </row>
        <row r="106">
          <cell r="K106">
            <v>0.88</v>
          </cell>
        </row>
        <row r="107">
          <cell r="K107">
            <v>0.77</v>
          </cell>
        </row>
        <row r="109">
          <cell r="K109">
            <v>0.72</v>
          </cell>
        </row>
        <row r="110">
          <cell r="K110">
            <v>0.6</v>
          </cell>
        </row>
        <row r="111">
          <cell r="K111">
            <v>72</v>
          </cell>
        </row>
        <row r="112">
          <cell r="K112">
            <v>0.92</v>
          </cell>
        </row>
        <row r="114">
          <cell r="K114">
            <v>0.92</v>
          </cell>
        </row>
        <row r="117">
          <cell r="K117">
            <v>0.86</v>
          </cell>
        </row>
        <row r="118">
          <cell r="K118">
            <v>0.68</v>
          </cell>
        </row>
        <row r="119">
          <cell r="K119">
            <v>0.62</v>
          </cell>
        </row>
        <row r="121">
          <cell r="K121">
            <v>0.82</v>
          </cell>
        </row>
        <row r="123">
          <cell r="K123">
            <v>93</v>
          </cell>
        </row>
        <row r="124">
          <cell r="K124">
            <v>0.64</v>
          </cell>
        </row>
        <row r="126">
          <cell r="K126">
            <v>0.96</v>
          </cell>
        </row>
        <row r="127">
          <cell r="K127">
            <v>0.83</v>
          </cell>
        </row>
        <row r="128">
          <cell r="K128">
            <v>0.64</v>
          </cell>
        </row>
        <row r="129">
          <cell r="K129">
            <v>0.7</v>
          </cell>
        </row>
        <row r="130">
          <cell r="K130">
            <v>0.65</v>
          </cell>
        </row>
        <row r="131">
          <cell r="K131">
            <v>0.67</v>
          </cell>
        </row>
        <row r="132">
          <cell r="K132">
            <v>93</v>
          </cell>
        </row>
        <row r="133">
          <cell r="K133">
            <v>0.6</v>
          </cell>
        </row>
        <row r="134">
          <cell r="K134">
            <v>0.62</v>
          </cell>
        </row>
        <row r="135">
          <cell r="K135">
            <v>0.7</v>
          </cell>
        </row>
        <row r="136">
          <cell r="K136">
            <v>0.75</v>
          </cell>
        </row>
        <row r="137">
          <cell r="K137">
            <v>0.7</v>
          </cell>
        </row>
        <row r="138">
          <cell r="K138">
            <v>0.84</v>
          </cell>
        </row>
        <row r="139">
          <cell r="K139">
            <v>83</v>
          </cell>
        </row>
        <row r="141">
          <cell r="K141">
            <v>0.88</v>
          </cell>
        </row>
        <row r="142">
          <cell r="K142">
            <v>0.81</v>
          </cell>
        </row>
        <row r="143">
          <cell r="K143">
            <v>0.8</v>
          </cell>
        </row>
        <row r="144">
          <cell r="K144">
            <v>0.67</v>
          </cell>
        </row>
        <row r="145">
          <cell r="K145">
            <v>0.82</v>
          </cell>
        </row>
        <row r="146">
          <cell r="K146">
            <v>78</v>
          </cell>
        </row>
        <row r="147">
          <cell r="K147">
            <v>0.81</v>
          </cell>
        </row>
        <row r="148">
          <cell r="K148">
            <v>0.74</v>
          </cell>
        </row>
        <row r="149">
          <cell r="K149">
            <v>0.88</v>
          </cell>
        </row>
        <row r="150">
          <cell r="K150">
            <v>0.9</v>
          </cell>
        </row>
        <row r="153">
          <cell r="K153">
            <v>0.93</v>
          </cell>
        </row>
        <row r="155">
          <cell r="K155">
            <v>0.71</v>
          </cell>
        </row>
        <row r="156">
          <cell r="K156">
            <v>0.95</v>
          </cell>
        </row>
        <row r="157">
          <cell r="K157">
            <v>80</v>
          </cell>
        </row>
        <row r="159">
          <cell r="K159">
            <v>0.62</v>
          </cell>
        </row>
        <row r="160">
          <cell r="K160">
            <v>0.95</v>
          </cell>
        </row>
        <row r="161">
          <cell r="K161">
            <v>0.79</v>
          </cell>
        </row>
        <row r="162">
          <cell r="K162">
            <v>0.62</v>
          </cell>
        </row>
        <row r="163">
          <cell r="K163">
            <v>0.68</v>
          </cell>
        </row>
        <row r="165">
          <cell r="K165">
            <v>0.8</v>
          </cell>
        </row>
        <row r="166">
          <cell r="K166">
            <v>0.92</v>
          </cell>
        </row>
        <row r="167">
          <cell r="K167">
            <v>0.65</v>
          </cell>
        </row>
        <row r="168">
          <cell r="K168">
            <v>0.87</v>
          </cell>
        </row>
        <row r="169">
          <cell r="K169">
            <v>0.7</v>
          </cell>
        </row>
        <row r="170">
          <cell r="K170">
            <v>87</v>
          </cell>
        </row>
        <row r="171">
          <cell r="K171">
            <v>0.72</v>
          </cell>
        </row>
        <row r="172">
          <cell r="K172">
            <v>0.8</v>
          </cell>
        </row>
        <row r="173">
          <cell r="K173">
            <v>0.66</v>
          </cell>
        </row>
        <row r="175">
          <cell r="K175">
            <v>0.64</v>
          </cell>
        </row>
        <row r="176">
          <cell r="K176">
            <v>0.68</v>
          </cell>
        </row>
        <row r="177">
          <cell r="K177">
            <v>0.63</v>
          </cell>
        </row>
        <row r="178">
          <cell r="K178">
            <v>0.72</v>
          </cell>
        </row>
        <row r="179">
          <cell r="K179">
            <v>0.86</v>
          </cell>
        </row>
        <row r="180">
          <cell r="K180">
            <v>0.73</v>
          </cell>
        </row>
        <row r="181">
          <cell r="K181">
            <v>0.95</v>
          </cell>
        </row>
        <row r="182">
          <cell r="K182">
            <v>0.9</v>
          </cell>
        </row>
        <row r="183">
          <cell r="K183">
            <v>0.78</v>
          </cell>
        </row>
        <row r="184">
          <cell r="K184">
            <v>0.97</v>
          </cell>
        </row>
        <row r="185">
          <cell r="K185">
            <v>0.65</v>
          </cell>
        </row>
        <row r="186">
          <cell r="K186">
            <v>0.78</v>
          </cell>
        </row>
        <row r="187">
          <cell r="K187">
            <v>0.65</v>
          </cell>
        </row>
        <row r="189">
          <cell r="K189">
            <v>0.95</v>
          </cell>
        </row>
        <row r="190">
          <cell r="K190">
            <v>0.88</v>
          </cell>
        </row>
        <row r="192">
          <cell r="K192">
            <v>0.92</v>
          </cell>
        </row>
        <row r="193">
          <cell r="K193">
            <v>0.75</v>
          </cell>
        </row>
        <row r="194">
          <cell r="K194">
            <v>0.74</v>
          </cell>
        </row>
        <row r="195">
          <cell r="K195">
            <v>0.71</v>
          </cell>
        </row>
        <row r="196">
          <cell r="K196">
            <v>0.89</v>
          </cell>
        </row>
        <row r="197">
          <cell r="K197">
            <v>0.66</v>
          </cell>
        </row>
        <row r="199">
          <cell r="K199">
            <v>0.86</v>
          </cell>
        </row>
        <row r="200">
          <cell r="K200">
            <v>0.86</v>
          </cell>
        </row>
        <row r="201">
          <cell r="K201">
            <v>0.82</v>
          </cell>
        </row>
        <row r="202">
          <cell r="K202">
            <v>87</v>
          </cell>
        </row>
        <row r="203">
          <cell r="K203">
            <v>0.8</v>
          </cell>
        </row>
        <row r="204">
          <cell r="K204">
            <v>0.71</v>
          </cell>
        </row>
        <row r="205">
          <cell r="K205">
            <v>0.77</v>
          </cell>
        </row>
        <row r="206">
          <cell r="K206">
            <v>68</v>
          </cell>
        </row>
        <row r="207">
          <cell r="K207">
            <v>0.91</v>
          </cell>
        </row>
        <row r="208">
          <cell r="K208">
            <v>0.75</v>
          </cell>
        </row>
        <row r="209">
          <cell r="K209">
            <v>0.9</v>
          </cell>
        </row>
        <row r="210">
          <cell r="K210">
            <v>93</v>
          </cell>
        </row>
        <row r="211">
          <cell r="K211">
            <v>0.94</v>
          </cell>
        </row>
        <row r="212">
          <cell r="K212">
            <v>64</v>
          </cell>
        </row>
        <row r="213">
          <cell r="K213">
            <v>0.84</v>
          </cell>
        </row>
        <row r="214">
          <cell r="K214">
            <v>0.87</v>
          </cell>
        </row>
        <row r="215">
          <cell r="K215">
            <v>0.64</v>
          </cell>
        </row>
        <row r="216">
          <cell r="K216">
            <v>0.64</v>
          </cell>
        </row>
        <row r="217">
          <cell r="K217">
            <v>0.8</v>
          </cell>
        </row>
        <row r="218">
          <cell r="K218">
            <v>0.9</v>
          </cell>
        </row>
        <row r="219">
          <cell r="K219">
            <v>0.92</v>
          </cell>
        </row>
        <row r="220">
          <cell r="K220">
            <v>0.96</v>
          </cell>
        </row>
        <row r="223">
          <cell r="K223">
            <v>0.85</v>
          </cell>
        </row>
        <row r="224">
          <cell r="K224">
            <v>0.79</v>
          </cell>
        </row>
        <row r="225">
          <cell r="K225">
            <v>0.65</v>
          </cell>
        </row>
        <row r="226">
          <cell r="K226">
            <v>0.63</v>
          </cell>
        </row>
        <row r="228">
          <cell r="K228">
            <v>0.78</v>
          </cell>
        </row>
        <row r="229">
          <cell r="K229">
            <v>0.62</v>
          </cell>
        </row>
        <row r="230">
          <cell r="K230">
            <v>0.76</v>
          </cell>
        </row>
        <row r="231">
          <cell r="K231">
            <v>97</v>
          </cell>
        </row>
        <row r="233">
          <cell r="K233">
            <v>0.82</v>
          </cell>
        </row>
        <row r="234">
          <cell r="K234">
            <v>0.71</v>
          </cell>
        </row>
        <row r="238">
          <cell r="K238">
            <v>0.69</v>
          </cell>
        </row>
        <row r="239">
          <cell r="K239">
            <v>0.88</v>
          </cell>
        </row>
        <row r="240">
          <cell r="K240">
            <v>0.67</v>
          </cell>
        </row>
        <row r="243">
          <cell r="K243">
            <v>0.67</v>
          </cell>
        </row>
        <row r="244">
          <cell r="K244">
            <v>0.86</v>
          </cell>
        </row>
        <row r="245">
          <cell r="K245">
            <v>0.69</v>
          </cell>
        </row>
        <row r="246">
          <cell r="K246">
            <v>0.85</v>
          </cell>
        </row>
        <row r="247">
          <cell r="K247">
            <v>60</v>
          </cell>
        </row>
        <row r="248">
          <cell r="K248">
            <v>70</v>
          </cell>
        </row>
        <row r="250">
          <cell r="K250">
            <v>0.81</v>
          </cell>
        </row>
        <row r="252">
          <cell r="K252">
            <v>0.78</v>
          </cell>
        </row>
        <row r="253">
          <cell r="K253">
            <v>81</v>
          </cell>
        </row>
        <row r="254">
          <cell r="K254">
            <v>0.71</v>
          </cell>
        </row>
        <row r="256">
          <cell r="K256">
            <v>0.99</v>
          </cell>
        </row>
        <row r="257">
          <cell r="K257">
            <v>0.66</v>
          </cell>
        </row>
        <row r="258">
          <cell r="K258">
            <v>0.8</v>
          </cell>
        </row>
        <row r="259">
          <cell r="K259">
            <v>0.83</v>
          </cell>
        </row>
        <row r="260">
          <cell r="K260">
            <v>87</v>
          </cell>
        </row>
        <row r="261">
          <cell r="K261">
            <v>76</v>
          </cell>
        </row>
        <row r="262">
          <cell r="K262">
            <v>0.89</v>
          </cell>
        </row>
        <row r="263">
          <cell r="K263">
            <v>0.94</v>
          </cell>
        </row>
        <row r="264">
          <cell r="K264">
            <v>0.68</v>
          </cell>
        </row>
        <row r="265">
          <cell r="K265">
            <v>0.96</v>
          </cell>
        </row>
        <row r="266">
          <cell r="K266">
            <v>0.91</v>
          </cell>
        </row>
        <row r="267">
          <cell r="K267">
            <v>0.92</v>
          </cell>
        </row>
        <row r="268">
          <cell r="K268">
            <v>0.82</v>
          </cell>
        </row>
        <row r="270">
          <cell r="K270">
            <v>0.91</v>
          </cell>
        </row>
        <row r="271">
          <cell r="K271">
            <v>86</v>
          </cell>
        </row>
        <row r="272">
          <cell r="K272">
            <v>0.69</v>
          </cell>
        </row>
        <row r="273">
          <cell r="K273">
            <v>0.84</v>
          </cell>
        </row>
        <row r="274">
          <cell r="K274">
            <v>0.6</v>
          </cell>
        </row>
        <row r="275">
          <cell r="K275">
            <v>0.97</v>
          </cell>
        </row>
        <row r="276">
          <cell r="K276">
            <v>0.7</v>
          </cell>
        </row>
        <row r="277">
          <cell r="K277">
            <v>0.81</v>
          </cell>
        </row>
        <row r="278">
          <cell r="K278">
            <v>0.88</v>
          </cell>
        </row>
        <row r="279">
          <cell r="K279">
            <v>1</v>
          </cell>
        </row>
        <row r="280">
          <cell r="K280">
            <v>95</v>
          </cell>
        </row>
        <row r="281">
          <cell r="K281">
            <v>0.71</v>
          </cell>
        </row>
        <row r="282">
          <cell r="K282">
            <v>0.85</v>
          </cell>
        </row>
        <row r="283">
          <cell r="K283">
            <v>0.96</v>
          </cell>
        </row>
        <row r="284">
          <cell r="K284">
            <v>0.92</v>
          </cell>
        </row>
        <row r="285">
          <cell r="K285">
            <v>0.79</v>
          </cell>
        </row>
        <row r="288">
          <cell r="K288">
            <v>0.89</v>
          </cell>
        </row>
        <row r="289">
          <cell r="K289">
            <v>1</v>
          </cell>
        </row>
        <row r="290">
          <cell r="K290">
            <v>0.81</v>
          </cell>
        </row>
        <row r="291">
          <cell r="K291">
            <v>95</v>
          </cell>
        </row>
        <row r="292">
          <cell r="K292">
            <v>0.88</v>
          </cell>
        </row>
        <row r="293">
          <cell r="K293">
            <v>0.66</v>
          </cell>
        </row>
        <row r="294">
          <cell r="K294">
            <v>0.84</v>
          </cell>
        </row>
        <row r="296">
          <cell r="K296">
            <v>0.82</v>
          </cell>
        </row>
        <row r="297">
          <cell r="K297">
            <v>0.84</v>
          </cell>
        </row>
        <row r="298">
          <cell r="K298">
            <v>0.73</v>
          </cell>
        </row>
        <row r="299">
          <cell r="K299">
            <v>0.93</v>
          </cell>
        </row>
        <row r="300">
          <cell r="K300">
            <v>0.64</v>
          </cell>
        </row>
        <row r="301">
          <cell r="K301">
            <v>0.76</v>
          </cell>
        </row>
        <row r="302">
          <cell r="K302">
            <v>0.97</v>
          </cell>
        </row>
        <row r="303">
          <cell r="K303">
            <v>0.95</v>
          </cell>
        </row>
        <row r="304">
          <cell r="K304">
            <v>0.65</v>
          </cell>
        </row>
        <row r="305">
          <cell r="K305">
            <v>0.77</v>
          </cell>
        </row>
        <row r="307">
          <cell r="K307">
            <v>0.67</v>
          </cell>
        </row>
        <row r="308">
          <cell r="K308">
            <v>0.84</v>
          </cell>
        </row>
        <row r="309">
          <cell r="K309">
            <v>0.87</v>
          </cell>
        </row>
        <row r="310">
          <cell r="K310">
            <v>0.91</v>
          </cell>
        </row>
        <row r="311">
          <cell r="K311">
            <v>0.78</v>
          </cell>
        </row>
        <row r="313">
          <cell r="K313">
            <v>74</v>
          </cell>
        </row>
        <row r="314">
          <cell r="K314">
            <v>0.91</v>
          </cell>
        </row>
        <row r="315">
          <cell r="K315">
            <v>0.71</v>
          </cell>
        </row>
        <row r="316">
          <cell r="K316">
            <v>0.87</v>
          </cell>
        </row>
        <row r="317">
          <cell r="K317">
            <v>0.61</v>
          </cell>
        </row>
        <row r="319">
          <cell r="K319">
            <v>0.81</v>
          </cell>
        </row>
        <row r="321">
          <cell r="K321">
            <v>0.84</v>
          </cell>
        </row>
        <row r="324">
          <cell r="K324">
            <v>0.6</v>
          </cell>
        </row>
        <row r="325">
          <cell r="K325">
            <v>0.64</v>
          </cell>
        </row>
        <row r="326">
          <cell r="K326">
            <v>0.64</v>
          </cell>
        </row>
        <row r="327">
          <cell r="K327">
            <v>1</v>
          </cell>
        </row>
        <row r="328">
          <cell r="K328">
            <v>100</v>
          </cell>
        </row>
        <row r="330">
          <cell r="K330">
            <v>0.83</v>
          </cell>
        </row>
        <row r="331">
          <cell r="K331">
            <v>0.87</v>
          </cell>
        </row>
        <row r="332">
          <cell r="K332">
            <v>0.75</v>
          </cell>
        </row>
        <row r="333">
          <cell r="K333">
            <v>0.61</v>
          </cell>
        </row>
        <row r="334">
          <cell r="K334">
            <v>0.93</v>
          </cell>
        </row>
        <row r="336">
          <cell r="K336">
            <v>0.99</v>
          </cell>
        </row>
        <row r="337">
          <cell r="K337">
            <v>73</v>
          </cell>
        </row>
        <row r="338">
          <cell r="K338">
            <v>0.96</v>
          </cell>
        </row>
        <row r="339">
          <cell r="K339">
            <v>0.6</v>
          </cell>
        </row>
        <row r="340">
          <cell r="K340">
            <v>0.64</v>
          </cell>
        </row>
        <row r="343">
          <cell r="K343">
            <v>0.99</v>
          </cell>
        </row>
        <row r="345">
          <cell r="K345">
            <v>0.71</v>
          </cell>
        </row>
        <row r="346">
          <cell r="K346">
            <v>0.72</v>
          </cell>
        </row>
        <row r="347">
          <cell r="K347">
            <v>0.66</v>
          </cell>
        </row>
        <row r="348">
          <cell r="K348">
            <v>0.78</v>
          </cell>
        </row>
        <row r="349">
          <cell r="K349">
            <v>100</v>
          </cell>
        </row>
        <row r="351">
          <cell r="K351">
            <v>67</v>
          </cell>
        </row>
        <row r="352">
          <cell r="K352">
            <v>0.78</v>
          </cell>
        </row>
        <row r="353">
          <cell r="K353">
            <v>0.78</v>
          </cell>
        </row>
        <row r="354">
          <cell r="K354">
            <v>0.75</v>
          </cell>
        </row>
        <row r="355">
          <cell r="K355">
            <v>0.67</v>
          </cell>
        </row>
        <row r="356">
          <cell r="K356">
            <v>0.86</v>
          </cell>
        </row>
        <row r="357">
          <cell r="K357">
            <v>77</v>
          </cell>
        </row>
        <row r="358">
          <cell r="K358">
            <v>0.61</v>
          </cell>
        </row>
        <row r="359">
          <cell r="K359">
            <v>0.9</v>
          </cell>
        </row>
        <row r="360">
          <cell r="K360">
            <v>0.98</v>
          </cell>
        </row>
        <row r="361">
          <cell r="K361">
            <v>0.99</v>
          </cell>
        </row>
        <row r="362">
          <cell r="K362">
            <v>0.61</v>
          </cell>
        </row>
        <row r="363">
          <cell r="K363">
            <v>0.61</v>
          </cell>
        </row>
        <row r="364">
          <cell r="K364">
            <v>0.91</v>
          </cell>
        </row>
        <row r="365">
          <cell r="K365">
            <v>72</v>
          </cell>
        </row>
        <row r="367">
          <cell r="K367">
            <v>0.96</v>
          </cell>
        </row>
        <row r="368">
          <cell r="K368">
            <v>72</v>
          </cell>
        </row>
        <row r="370">
          <cell r="K370">
            <v>0.63</v>
          </cell>
        </row>
        <row r="372">
          <cell r="K372">
            <v>0.83</v>
          </cell>
        </row>
        <row r="373">
          <cell r="K373">
            <v>0.94</v>
          </cell>
        </row>
        <row r="374">
          <cell r="K374">
            <v>0.78</v>
          </cell>
        </row>
        <row r="376">
          <cell r="K376">
            <v>0.82</v>
          </cell>
        </row>
        <row r="377">
          <cell r="K377">
            <v>0.66</v>
          </cell>
        </row>
        <row r="378">
          <cell r="K378">
            <v>82</v>
          </cell>
        </row>
        <row r="379">
          <cell r="K379">
            <v>0.84</v>
          </cell>
        </row>
        <row r="380">
          <cell r="K380">
            <v>0.81</v>
          </cell>
        </row>
        <row r="381">
          <cell r="K381">
            <v>71</v>
          </cell>
        </row>
        <row r="382">
          <cell r="K382">
            <v>0.61</v>
          </cell>
        </row>
        <row r="383">
          <cell r="K383">
            <v>0.66</v>
          </cell>
        </row>
        <row r="384">
          <cell r="K384">
            <v>0.97</v>
          </cell>
        </row>
        <row r="385">
          <cell r="K385">
            <v>0.74</v>
          </cell>
        </row>
        <row r="386">
          <cell r="K386">
            <v>0.61</v>
          </cell>
        </row>
        <row r="387">
          <cell r="K387">
            <v>0.9</v>
          </cell>
        </row>
        <row r="388">
          <cell r="K388">
            <v>0.97</v>
          </cell>
        </row>
        <row r="390">
          <cell r="K390">
            <v>0.76</v>
          </cell>
        </row>
        <row r="391">
          <cell r="K391">
            <v>0.92</v>
          </cell>
        </row>
        <row r="393">
          <cell r="K393">
            <v>0.66</v>
          </cell>
        </row>
        <row r="394">
          <cell r="K394">
            <v>0.83</v>
          </cell>
        </row>
        <row r="397">
          <cell r="K397">
            <v>82</v>
          </cell>
        </row>
        <row r="398">
          <cell r="K398">
            <v>0.77</v>
          </cell>
        </row>
        <row r="399">
          <cell r="K399">
            <v>0.73</v>
          </cell>
        </row>
        <row r="400">
          <cell r="K400">
            <v>0.88</v>
          </cell>
        </row>
        <row r="401">
          <cell r="K401">
            <v>0.81</v>
          </cell>
        </row>
        <row r="402">
          <cell r="K402">
            <v>0.78</v>
          </cell>
        </row>
        <row r="403">
          <cell r="K403">
            <v>0.92</v>
          </cell>
        </row>
        <row r="404">
          <cell r="K404">
            <v>0.64</v>
          </cell>
        </row>
        <row r="405">
          <cell r="K405">
            <v>0.78</v>
          </cell>
        </row>
        <row r="406">
          <cell r="K406">
            <v>85</v>
          </cell>
        </row>
        <row r="407">
          <cell r="K407">
            <v>0.78</v>
          </cell>
        </row>
        <row r="408">
          <cell r="K408">
            <v>0.98</v>
          </cell>
        </row>
        <row r="409">
          <cell r="K409">
            <v>0.63</v>
          </cell>
        </row>
        <row r="410">
          <cell r="K410">
            <v>0.73</v>
          </cell>
        </row>
        <row r="411">
          <cell r="K411">
            <v>0.94</v>
          </cell>
        </row>
        <row r="412">
          <cell r="K412">
            <v>0.81</v>
          </cell>
        </row>
        <row r="413">
          <cell r="K413">
            <v>0.61</v>
          </cell>
        </row>
        <row r="415">
          <cell r="K415">
            <v>0.83</v>
          </cell>
        </row>
        <row r="417">
          <cell r="K417">
            <v>0.68</v>
          </cell>
        </row>
        <row r="418">
          <cell r="K418">
            <v>0.74</v>
          </cell>
        </row>
        <row r="419">
          <cell r="K419">
            <v>91</v>
          </cell>
        </row>
        <row r="420">
          <cell r="K420">
            <v>0.97</v>
          </cell>
        </row>
        <row r="421">
          <cell r="K421">
            <v>0.96</v>
          </cell>
        </row>
        <row r="422">
          <cell r="K422">
            <v>0.73</v>
          </cell>
        </row>
        <row r="423">
          <cell r="K423">
            <v>0.72</v>
          </cell>
        </row>
        <row r="424">
          <cell r="K424">
            <v>0.74</v>
          </cell>
        </row>
        <row r="427">
          <cell r="K427">
            <v>0.74</v>
          </cell>
        </row>
        <row r="428">
          <cell r="K428">
            <v>0.71</v>
          </cell>
        </row>
        <row r="429">
          <cell r="K429">
            <v>0.83</v>
          </cell>
        </row>
        <row r="430">
          <cell r="K430">
            <v>0.63</v>
          </cell>
        </row>
        <row r="431">
          <cell r="K431">
            <v>0.84</v>
          </cell>
        </row>
        <row r="432">
          <cell r="K432">
            <v>0.93</v>
          </cell>
        </row>
        <row r="434">
          <cell r="K434">
            <v>0.93</v>
          </cell>
        </row>
        <row r="435">
          <cell r="K435">
            <v>0.97</v>
          </cell>
        </row>
        <row r="436">
          <cell r="K436">
            <v>0.92</v>
          </cell>
        </row>
        <row r="437">
          <cell r="K437">
            <v>0.92</v>
          </cell>
        </row>
        <row r="438">
          <cell r="K438">
            <v>0.68</v>
          </cell>
        </row>
        <row r="439">
          <cell r="K439">
            <v>0.95</v>
          </cell>
        </row>
        <row r="440">
          <cell r="K440">
            <v>0.76</v>
          </cell>
        </row>
        <row r="441">
          <cell r="K441">
            <v>0.66</v>
          </cell>
        </row>
        <row r="442">
          <cell r="K442">
            <v>0.73</v>
          </cell>
        </row>
        <row r="443">
          <cell r="K443">
            <v>0.99</v>
          </cell>
        </row>
        <row r="444">
          <cell r="K444">
            <v>94</v>
          </cell>
        </row>
        <row r="445">
          <cell r="K445">
            <v>84</v>
          </cell>
        </row>
        <row r="446">
          <cell r="K446">
            <v>0.92</v>
          </cell>
        </row>
        <row r="448">
          <cell r="K448">
            <v>90</v>
          </cell>
        </row>
        <row r="449">
          <cell r="K449">
            <v>0.73</v>
          </cell>
        </row>
        <row r="450">
          <cell r="K450">
            <v>0.73</v>
          </cell>
        </row>
        <row r="451">
          <cell r="K451">
            <v>0.78</v>
          </cell>
        </row>
        <row r="452">
          <cell r="K452">
            <v>0.63</v>
          </cell>
        </row>
        <row r="453">
          <cell r="K453">
            <v>0.64</v>
          </cell>
        </row>
        <row r="455">
          <cell r="K455">
            <v>0.86</v>
          </cell>
        </row>
        <row r="457">
          <cell r="K457">
            <v>0.96</v>
          </cell>
        </row>
        <row r="459">
          <cell r="K459">
            <v>0.77</v>
          </cell>
        </row>
        <row r="461">
          <cell r="K461">
            <v>0.65</v>
          </cell>
        </row>
        <row r="462">
          <cell r="K462">
            <v>0.62</v>
          </cell>
        </row>
        <row r="463">
          <cell r="K463">
            <v>0.81</v>
          </cell>
        </row>
        <row r="464">
          <cell r="K464">
            <v>0.62</v>
          </cell>
        </row>
        <row r="465">
          <cell r="K465">
            <v>0.87</v>
          </cell>
        </row>
        <row r="467">
          <cell r="K467">
            <v>76</v>
          </cell>
        </row>
        <row r="468">
          <cell r="K468">
            <v>70</v>
          </cell>
        </row>
        <row r="469">
          <cell r="K469">
            <v>0.71</v>
          </cell>
        </row>
        <row r="470">
          <cell r="K470">
            <v>0.83</v>
          </cell>
        </row>
        <row r="471">
          <cell r="K471">
            <v>78</v>
          </cell>
        </row>
        <row r="472">
          <cell r="K472">
            <v>0.78</v>
          </cell>
        </row>
        <row r="473">
          <cell r="K473">
            <v>0.6</v>
          </cell>
        </row>
        <row r="476">
          <cell r="K476">
            <v>0.94</v>
          </cell>
        </row>
        <row r="477">
          <cell r="K477">
            <v>62</v>
          </cell>
        </row>
        <row r="480">
          <cell r="K480">
            <v>0.84</v>
          </cell>
        </row>
        <row r="482">
          <cell r="K482">
            <v>65</v>
          </cell>
        </row>
        <row r="483">
          <cell r="K483">
            <v>0.94</v>
          </cell>
        </row>
        <row r="484">
          <cell r="K484">
            <v>0.69</v>
          </cell>
        </row>
        <row r="485">
          <cell r="K485">
            <v>0.65</v>
          </cell>
        </row>
        <row r="486">
          <cell r="K486">
            <v>0.6</v>
          </cell>
        </row>
        <row r="488">
          <cell r="K488">
            <v>0.62</v>
          </cell>
        </row>
        <row r="490">
          <cell r="K490">
            <v>0.89</v>
          </cell>
        </row>
        <row r="491">
          <cell r="K491">
            <v>0.89</v>
          </cell>
        </row>
        <row r="492">
          <cell r="K492">
            <v>1</v>
          </cell>
        </row>
        <row r="494">
          <cell r="K494">
            <v>0.6</v>
          </cell>
        </row>
        <row r="495">
          <cell r="K495">
            <v>0.85</v>
          </cell>
        </row>
        <row r="496">
          <cell r="K496">
            <v>0.83</v>
          </cell>
        </row>
        <row r="497">
          <cell r="K497">
            <v>0.96</v>
          </cell>
        </row>
        <row r="498">
          <cell r="K498">
            <v>0.83</v>
          </cell>
        </row>
        <row r="499">
          <cell r="K499">
            <v>0.6</v>
          </cell>
        </row>
        <row r="500">
          <cell r="K500">
            <v>0.78</v>
          </cell>
        </row>
        <row r="501">
          <cell r="K501">
            <v>0.9</v>
          </cell>
        </row>
        <row r="502">
          <cell r="K502">
            <v>0.66</v>
          </cell>
        </row>
        <row r="503">
          <cell r="K503">
            <v>0.7</v>
          </cell>
        </row>
        <row r="504">
          <cell r="K504">
            <v>0.79</v>
          </cell>
        </row>
        <row r="505">
          <cell r="K505">
            <v>0.64</v>
          </cell>
        </row>
        <row r="506">
          <cell r="K506">
            <v>0.81</v>
          </cell>
        </row>
        <row r="507">
          <cell r="K507">
            <v>0.83</v>
          </cell>
        </row>
        <row r="508">
          <cell r="K508">
            <v>0.91</v>
          </cell>
        </row>
        <row r="510">
          <cell r="K510">
            <v>0.77</v>
          </cell>
        </row>
        <row r="511">
          <cell r="K511">
            <v>0.94</v>
          </cell>
        </row>
        <row r="512">
          <cell r="K512">
            <v>0.61</v>
          </cell>
        </row>
        <row r="513">
          <cell r="K513">
            <v>0.68</v>
          </cell>
        </row>
        <row r="514">
          <cell r="K514">
            <v>0.7</v>
          </cell>
        </row>
        <row r="515">
          <cell r="K515">
            <v>71</v>
          </cell>
        </row>
        <row r="517">
          <cell r="K517">
            <v>0.78</v>
          </cell>
        </row>
        <row r="518">
          <cell r="K518">
            <v>75</v>
          </cell>
        </row>
        <row r="519">
          <cell r="K519">
            <v>0.91</v>
          </cell>
        </row>
        <row r="520">
          <cell r="K520">
            <v>0.66</v>
          </cell>
        </row>
        <row r="521">
          <cell r="K521">
            <v>0.68</v>
          </cell>
        </row>
        <row r="523">
          <cell r="K523">
            <v>0.62</v>
          </cell>
        </row>
        <row r="524">
          <cell r="K524">
            <v>0.9</v>
          </cell>
        </row>
        <row r="525">
          <cell r="K525">
            <v>0.96</v>
          </cell>
        </row>
        <row r="526">
          <cell r="K526">
            <v>0.6</v>
          </cell>
        </row>
        <row r="527">
          <cell r="K527">
            <v>0.62</v>
          </cell>
        </row>
        <row r="528">
          <cell r="K528">
            <v>0.74</v>
          </cell>
        </row>
        <row r="530">
          <cell r="K530">
            <v>0.98</v>
          </cell>
        </row>
        <row r="531">
          <cell r="K531">
            <v>0.63</v>
          </cell>
        </row>
        <row r="532">
          <cell r="K532">
            <v>96</v>
          </cell>
        </row>
        <row r="533">
          <cell r="K533">
            <v>0.88</v>
          </cell>
        </row>
        <row r="535">
          <cell r="K535">
            <v>0.73</v>
          </cell>
        </row>
        <row r="536">
          <cell r="K536">
            <v>0.88</v>
          </cell>
        </row>
        <row r="537">
          <cell r="K537">
            <v>0.91</v>
          </cell>
        </row>
        <row r="538">
          <cell r="K538">
            <v>0.65</v>
          </cell>
        </row>
        <row r="539">
          <cell r="K539">
            <v>90</v>
          </cell>
        </row>
        <row r="540">
          <cell r="K540">
            <v>0.72</v>
          </cell>
        </row>
        <row r="541">
          <cell r="K541">
            <v>0.72</v>
          </cell>
        </row>
        <row r="543">
          <cell r="K543">
            <v>0.68</v>
          </cell>
        </row>
        <row r="544">
          <cell r="K544">
            <v>0.87</v>
          </cell>
        </row>
        <row r="545">
          <cell r="K545">
            <v>0.72</v>
          </cell>
        </row>
        <row r="546">
          <cell r="K546">
            <v>0.76</v>
          </cell>
        </row>
        <row r="547">
          <cell r="K547">
            <v>63</v>
          </cell>
        </row>
        <row r="548">
          <cell r="K548">
            <v>0.91</v>
          </cell>
        </row>
        <row r="549">
          <cell r="K549">
            <v>0.73</v>
          </cell>
        </row>
        <row r="550">
          <cell r="K550">
            <v>0.63</v>
          </cell>
        </row>
        <row r="551">
          <cell r="K551">
            <v>0.79</v>
          </cell>
        </row>
        <row r="552">
          <cell r="K552">
            <v>75</v>
          </cell>
        </row>
        <row r="553">
          <cell r="K553">
            <v>0.7</v>
          </cell>
        </row>
        <row r="554">
          <cell r="K554">
            <v>0.87</v>
          </cell>
        </row>
        <row r="556">
          <cell r="K556">
            <v>0.88</v>
          </cell>
        </row>
        <row r="558">
          <cell r="K558">
            <v>0.93</v>
          </cell>
        </row>
        <row r="560">
          <cell r="K560">
            <v>0.74</v>
          </cell>
        </row>
        <row r="561">
          <cell r="K561">
            <v>0.7</v>
          </cell>
        </row>
        <row r="562">
          <cell r="K562">
            <v>0.67</v>
          </cell>
        </row>
        <row r="563">
          <cell r="K563">
            <v>0.86</v>
          </cell>
        </row>
        <row r="564">
          <cell r="K564">
            <v>0.69</v>
          </cell>
        </row>
        <row r="565">
          <cell r="K565">
            <v>0.68</v>
          </cell>
        </row>
        <row r="567">
          <cell r="K567">
            <v>0.61</v>
          </cell>
        </row>
        <row r="568">
          <cell r="K568">
            <v>0.96</v>
          </cell>
        </row>
        <row r="569">
          <cell r="K569">
            <v>0.68</v>
          </cell>
        </row>
        <row r="570">
          <cell r="K570">
            <v>0.75</v>
          </cell>
        </row>
        <row r="571">
          <cell r="K571">
            <v>0.69</v>
          </cell>
        </row>
        <row r="572">
          <cell r="K572">
            <v>0.78</v>
          </cell>
        </row>
        <row r="574">
          <cell r="K574">
            <v>0.98</v>
          </cell>
        </row>
        <row r="575">
          <cell r="K575">
            <v>0.83</v>
          </cell>
        </row>
        <row r="576">
          <cell r="K576">
            <v>0.91</v>
          </cell>
        </row>
        <row r="577">
          <cell r="K577">
            <v>0.96</v>
          </cell>
        </row>
        <row r="578">
          <cell r="K578">
            <v>0.85</v>
          </cell>
        </row>
        <row r="579">
          <cell r="K579">
            <v>0.72</v>
          </cell>
        </row>
        <row r="580">
          <cell r="K580">
            <v>0.69</v>
          </cell>
        </row>
        <row r="581">
          <cell r="K581">
            <v>90</v>
          </cell>
        </row>
        <row r="582">
          <cell r="K582">
            <v>0.92</v>
          </cell>
        </row>
        <row r="583">
          <cell r="K583">
            <v>0.91</v>
          </cell>
        </row>
        <row r="585">
          <cell r="K585">
            <v>0.98</v>
          </cell>
        </row>
        <row r="586">
          <cell r="K586">
            <v>0.82</v>
          </cell>
        </row>
        <row r="587">
          <cell r="K587">
            <v>0.83</v>
          </cell>
        </row>
        <row r="590">
          <cell r="K590">
            <v>0.85</v>
          </cell>
        </row>
        <row r="592">
          <cell r="K592">
            <v>0.63</v>
          </cell>
        </row>
        <row r="594">
          <cell r="K594">
            <v>0.86</v>
          </cell>
        </row>
        <row r="595">
          <cell r="K595">
            <v>60</v>
          </cell>
        </row>
        <row r="596">
          <cell r="K596">
            <v>88</v>
          </cell>
        </row>
        <row r="597">
          <cell r="K597">
            <v>0.7</v>
          </cell>
        </row>
        <row r="598">
          <cell r="K598">
            <v>0.77</v>
          </cell>
        </row>
        <row r="599">
          <cell r="K599">
            <v>0.8</v>
          </cell>
        </row>
        <row r="601">
          <cell r="K601">
            <v>0.87</v>
          </cell>
        </row>
        <row r="602">
          <cell r="K602">
            <v>0.93</v>
          </cell>
        </row>
        <row r="603">
          <cell r="K603">
            <v>88</v>
          </cell>
        </row>
        <row r="604">
          <cell r="K604">
            <v>1</v>
          </cell>
        </row>
        <row r="605">
          <cell r="K605">
            <v>61</v>
          </cell>
        </row>
        <row r="606">
          <cell r="K606">
            <v>0.79</v>
          </cell>
        </row>
        <row r="607">
          <cell r="K607">
            <v>0.73</v>
          </cell>
        </row>
        <row r="608">
          <cell r="K608">
            <v>0.64</v>
          </cell>
        </row>
        <row r="610">
          <cell r="K610">
            <v>0.93</v>
          </cell>
        </row>
        <row r="611">
          <cell r="K611">
            <v>0.68</v>
          </cell>
        </row>
        <row r="612">
          <cell r="K612">
            <v>0.62</v>
          </cell>
        </row>
        <row r="614">
          <cell r="K614">
            <v>0.82</v>
          </cell>
        </row>
        <row r="616">
          <cell r="K616">
            <v>0.85</v>
          </cell>
        </row>
        <row r="617">
          <cell r="K617">
            <v>0.78</v>
          </cell>
        </row>
        <row r="618">
          <cell r="K618">
            <v>0.86</v>
          </cell>
        </row>
        <row r="619">
          <cell r="K619">
            <v>0.88</v>
          </cell>
        </row>
        <row r="620">
          <cell r="K620">
            <v>0.68</v>
          </cell>
        </row>
        <row r="621">
          <cell r="K621">
            <v>0.97</v>
          </cell>
        </row>
        <row r="622">
          <cell r="K622">
            <v>0.91</v>
          </cell>
        </row>
        <row r="624">
          <cell r="K624">
            <v>0.97</v>
          </cell>
        </row>
        <row r="625">
          <cell r="K625">
            <v>0.64</v>
          </cell>
        </row>
        <row r="626">
          <cell r="K626">
            <v>0.87</v>
          </cell>
        </row>
        <row r="627">
          <cell r="K627">
            <v>86</v>
          </cell>
        </row>
        <row r="628">
          <cell r="K628">
            <v>97</v>
          </cell>
        </row>
        <row r="629">
          <cell r="K629">
            <v>0.73</v>
          </cell>
        </row>
        <row r="630">
          <cell r="K630">
            <v>0.6</v>
          </cell>
        </row>
        <row r="631">
          <cell r="K631">
            <v>66</v>
          </cell>
        </row>
        <row r="632">
          <cell r="K632">
            <v>0.9</v>
          </cell>
        </row>
        <row r="635">
          <cell r="K635">
            <v>77</v>
          </cell>
        </row>
        <row r="636">
          <cell r="K636">
            <v>0.79</v>
          </cell>
        </row>
        <row r="637">
          <cell r="K637">
            <v>0.83</v>
          </cell>
        </row>
        <row r="638">
          <cell r="K638">
            <v>0.64</v>
          </cell>
        </row>
        <row r="639">
          <cell r="K639">
            <v>0.8</v>
          </cell>
        </row>
        <row r="640">
          <cell r="K640">
            <v>0.9</v>
          </cell>
        </row>
        <row r="641">
          <cell r="K641">
            <v>0.94</v>
          </cell>
        </row>
        <row r="642">
          <cell r="K642">
            <v>0.7</v>
          </cell>
        </row>
        <row r="643">
          <cell r="K643">
            <v>0.75</v>
          </cell>
        </row>
        <row r="644">
          <cell r="K644">
            <v>0.69</v>
          </cell>
        </row>
        <row r="646">
          <cell r="K646">
            <v>0.79</v>
          </cell>
        </row>
        <row r="647">
          <cell r="K647">
            <v>0.71</v>
          </cell>
        </row>
        <row r="648">
          <cell r="K648">
            <v>0.72</v>
          </cell>
        </row>
        <row r="649">
          <cell r="K649">
            <v>0.93</v>
          </cell>
        </row>
        <row r="650">
          <cell r="K650">
            <v>0.82</v>
          </cell>
        </row>
        <row r="651">
          <cell r="K651">
            <v>60</v>
          </cell>
        </row>
        <row r="652">
          <cell r="K652">
            <v>93</v>
          </cell>
        </row>
        <row r="654">
          <cell r="K654">
            <v>0.74</v>
          </cell>
        </row>
        <row r="655">
          <cell r="K655">
            <v>73</v>
          </cell>
        </row>
        <row r="656">
          <cell r="K656">
            <v>0.96</v>
          </cell>
        </row>
        <row r="657">
          <cell r="K657">
            <v>0.66</v>
          </cell>
        </row>
        <row r="658">
          <cell r="K658">
            <v>0.62</v>
          </cell>
        </row>
        <row r="659">
          <cell r="K659">
            <v>0.85</v>
          </cell>
        </row>
        <row r="660">
          <cell r="K660">
            <v>0.66</v>
          </cell>
        </row>
        <row r="661">
          <cell r="K661">
            <v>0.87</v>
          </cell>
        </row>
        <row r="662">
          <cell r="K662">
            <v>68</v>
          </cell>
        </row>
        <row r="665">
          <cell r="K665">
            <v>0.79</v>
          </cell>
        </row>
        <row r="666">
          <cell r="K666">
            <v>0.88</v>
          </cell>
        </row>
        <row r="667">
          <cell r="K667">
            <v>0.81</v>
          </cell>
        </row>
        <row r="669">
          <cell r="K669">
            <v>0.67</v>
          </cell>
        </row>
        <row r="670">
          <cell r="K670">
            <v>62</v>
          </cell>
        </row>
        <row r="671">
          <cell r="K671">
            <v>0.87</v>
          </cell>
        </row>
        <row r="672">
          <cell r="K672">
            <v>0.98</v>
          </cell>
        </row>
        <row r="673">
          <cell r="K673">
            <v>0.64</v>
          </cell>
        </row>
        <row r="674">
          <cell r="K674">
            <v>0.71</v>
          </cell>
        </row>
        <row r="675">
          <cell r="K675">
            <v>96</v>
          </cell>
        </row>
        <row r="677">
          <cell r="K677">
            <v>0.78</v>
          </cell>
        </row>
        <row r="678">
          <cell r="K678">
            <v>0.7</v>
          </cell>
        </row>
        <row r="679">
          <cell r="K679">
            <v>0.82</v>
          </cell>
        </row>
        <row r="681">
          <cell r="K681">
            <v>0.99</v>
          </cell>
        </row>
        <row r="682">
          <cell r="K682">
            <v>0.93</v>
          </cell>
        </row>
        <row r="683">
          <cell r="K683">
            <v>0.75</v>
          </cell>
        </row>
        <row r="684">
          <cell r="K684">
            <v>61</v>
          </cell>
        </row>
        <row r="685">
          <cell r="K685">
            <v>0.97</v>
          </cell>
        </row>
        <row r="686">
          <cell r="K686">
            <v>95</v>
          </cell>
        </row>
        <row r="687">
          <cell r="K687">
            <v>0.69</v>
          </cell>
        </row>
        <row r="688">
          <cell r="K688">
            <v>0.63</v>
          </cell>
        </row>
        <row r="689">
          <cell r="K689">
            <v>0.65</v>
          </cell>
        </row>
        <row r="690">
          <cell r="K690">
            <v>0.9</v>
          </cell>
        </row>
        <row r="692">
          <cell r="K692">
            <v>0.89</v>
          </cell>
        </row>
        <row r="693">
          <cell r="K693">
            <v>0.8</v>
          </cell>
        </row>
        <row r="694">
          <cell r="K694">
            <v>0.8</v>
          </cell>
        </row>
        <row r="696">
          <cell r="K696">
            <v>0.67</v>
          </cell>
        </row>
        <row r="697">
          <cell r="K697">
            <v>0.96</v>
          </cell>
        </row>
        <row r="698">
          <cell r="K698">
            <v>0.9</v>
          </cell>
        </row>
        <row r="699">
          <cell r="K699">
            <v>0.62</v>
          </cell>
        </row>
        <row r="700">
          <cell r="K700">
            <v>0.72</v>
          </cell>
        </row>
        <row r="701">
          <cell r="K701">
            <v>0.83</v>
          </cell>
        </row>
        <row r="702">
          <cell r="K702">
            <v>0.7</v>
          </cell>
        </row>
        <row r="703">
          <cell r="K703">
            <v>99</v>
          </cell>
        </row>
        <row r="704">
          <cell r="K704">
            <v>97</v>
          </cell>
        </row>
        <row r="705">
          <cell r="K705">
            <v>0.77</v>
          </cell>
        </row>
        <row r="706">
          <cell r="K706">
            <v>0.92</v>
          </cell>
        </row>
        <row r="707">
          <cell r="K707">
            <v>0.76</v>
          </cell>
        </row>
        <row r="708">
          <cell r="K708">
            <v>0.97</v>
          </cell>
        </row>
        <row r="710">
          <cell r="K710">
            <v>99</v>
          </cell>
        </row>
        <row r="712">
          <cell r="K712">
            <v>0.82</v>
          </cell>
        </row>
        <row r="713">
          <cell r="K713">
            <v>0.78</v>
          </cell>
        </row>
        <row r="716">
          <cell r="K716">
            <v>0.72</v>
          </cell>
        </row>
        <row r="722">
          <cell r="K722">
            <v>0.94</v>
          </cell>
        </row>
        <row r="725">
          <cell r="K725">
            <v>0.77</v>
          </cell>
        </row>
        <row r="726">
          <cell r="K726">
            <v>84</v>
          </cell>
        </row>
        <row r="727">
          <cell r="K727">
            <v>79</v>
          </cell>
        </row>
        <row r="728">
          <cell r="K728">
            <v>0.69</v>
          </cell>
        </row>
        <row r="729">
          <cell r="K729">
            <v>0.68</v>
          </cell>
        </row>
        <row r="730">
          <cell r="K730">
            <v>73</v>
          </cell>
        </row>
        <row r="731">
          <cell r="K731">
            <v>0.74</v>
          </cell>
        </row>
        <row r="732">
          <cell r="K732">
            <v>1</v>
          </cell>
        </row>
        <row r="733">
          <cell r="K733">
            <v>0.87</v>
          </cell>
        </row>
        <row r="734">
          <cell r="K734">
            <v>0.79</v>
          </cell>
        </row>
        <row r="735">
          <cell r="K735">
            <v>0.68</v>
          </cell>
        </row>
        <row r="736">
          <cell r="K736">
            <v>0.84</v>
          </cell>
        </row>
        <row r="737">
          <cell r="K737">
            <v>0.71</v>
          </cell>
        </row>
        <row r="738">
          <cell r="K738">
            <v>0.92</v>
          </cell>
        </row>
        <row r="739">
          <cell r="K739">
            <v>0.69</v>
          </cell>
        </row>
        <row r="740">
          <cell r="K740">
            <v>0.71</v>
          </cell>
        </row>
        <row r="741">
          <cell r="K741">
            <v>0.77</v>
          </cell>
        </row>
        <row r="742">
          <cell r="K742">
            <v>0.87</v>
          </cell>
        </row>
        <row r="743">
          <cell r="K743">
            <v>0.76</v>
          </cell>
        </row>
        <row r="745">
          <cell r="K745">
            <v>0.65</v>
          </cell>
        </row>
        <row r="746">
          <cell r="K746">
            <v>0.82</v>
          </cell>
        </row>
        <row r="747">
          <cell r="K747">
            <v>87</v>
          </cell>
        </row>
        <row r="748">
          <cell r="K748">
            <v>1</v>
          </cell>
        </row>
        <row r="749">
          <cell r="K749">
            <v>71</v>
          </cell>
        </row>
        <row r="750">
          <cell r="K750">
            <v>87</v>
          </cell>
        </row>
        <row r="751">
          <cell r="K751">
            <v>70</v>
          </cell>
        </row>
        <row r="752">
          <cell r="K752">
            <v>0.83</v>
          </cell>
        </row>
        <row r="753">
          <cell r="K753">
            <v>0.74</v>
          </cell>
        </row>
        <row r="754">
          <cell r="K754">
            <v>0.86</v>
          </cell>
        </row>
        <row r="755">
          <cell r="K755">
            <v>0.72</v>
          </cell>
        </row>
        <row r="756">
          <cell r="K756">
            <v>0.73</v>
          </cell>
        </row>
        <row r="757">
          <cell r="K757">
            <v>0.78</v>
          </cell>
        </row>
        <row r="759">
          <cell r="K759">
            <v>0.75</v>
          </cell>
        </row>
        <row r="760">
          <cell r="K760">
            <v>0.96</v>
          </cell>
        </row>
        <row r="761">
          <cell r="K761">
            <v>0.61</v>
          </cell>
        </row>
        <row r="762">
          <cell r="K762">
            <v>1</v>
          </cell>
        </row>
        <row r="763">
          <cell r="K763">
            <v>0.82</v>
          </cell>
        </row>
        <row r="764">
          <cell r="K764">
            <v>0.8</v>
          </cell>
        </row>
        <row r="765">
          <cell r="K765">
            <v>0.96</v>
          </cell>
        </row>
        <row r="766">
          <cell r="K766">
            <v>0.63</v>
          </cell>
        </row>
        <row r="767">
          <cell r="K767">
            <v>0.67</v>
          </cell>
        </row>
        <row r="768">
          <cell r="K768">
            <v>0.61</v>
          </cell>
        </row>
        <row r="769">
          <cell r="K769">
            <v>0.77</v>
          </cell>
        </row>
        <row r="771">
          <cell r="K771">
            <v>0.84</v>
          </cell>
        </row>
        <row r="772">
          <cell r="K772">
            <v>0.89</v>
          </cell>
        </row>
        <row r="773">
          <cell r="K773">
            <v>0.9</v>
          </cell>
        </row>
        <row r="774">
          <cell r="K774">
            <v>0.87</v>
          </cell>
        </row>
        <row r="775">
          <cell r="K775">
            <v>0.77</v>
          </cell>
        </row>
        <row r="776">
          <cell r="K776">
            <v>0.72</v>
          </cell>
        </row>
        <row r="777">
          <cell r="K777">
            <v>0.87</v>
          </cell>
        </row>
        <row r="778">
          <cell r="K778">
            <v>0.89</v>
          </cell>
        </row>
        <row r="779">
          <cell r="K779">
            <v>0.87</v>
          </cell>
        </row>
        <row r="780">
          <cell r="K780">
            <v>0.76</v>
          </cell>
        </row>
        <row r="781">
          <cell r="K781">
            <v>1</v>
          </cell>
        </row>
        <row r="782">
          <cell r="K782">
            <v>0.94</v>
          </cell>
        </row>
        <row r="784">
          <cell r="K784">
            <v>83</v>
          </cell>
        </row>
        <row r="785">
          <cell r="K785">
            <v>0.74</v>
          </cell>
        </row>
        <row r="786">
          <cell r="K786">
            <v>92</v>
          </cell>
        </row>
        <row r="787">
          <cell r="K787">
            <v>0.66</v>
          </cell>
        </row>
        <row r="788">
          <cell r="K788">
            <v>0.74</v>
          </cell>
        </row>
        <row r="789">
          <cell r="K789">
            <v>0.97</v>
          </cell>
        </row>
        <row r="790">
          <cell r="K790">
            <v>77</v>
          </cell>
        </row>
        <row r="791">
          <cell r="K791">
            <v>0.86</v>
          </cell>
        </row>
        <row r="792">
          <cell r="K792">
            <v>0.95</v>
          </cell>
        </row>
        <row r="793">
          <cell r="K793">
            <v>0.72</v>
          </cell>
        </row>
        <row r="794">
          <cell r="K794">
            <v>0.71</v>
          </cell>
        </row>
        <row r="795">
          <cell r="K795">
            <v>0.93</v>
          </cell>
        </row>
        <row r="797">
          <cell r="K797">
            <v>0.87</v>
          </cell>
        </row>
        <row r="798">
          <cell r="K798">
            <v>73</v>
          </cell>
        </row>
        <row r="799">
          <cell r="K799">
            <v>0.74</v>
          </cell>
        </row>
        <row r="800">
          <cell r="K800">
            <v>0.62</v>
          </cell>
        </row>
        <row r="801">
          <cell r="K801">
            <v>0.98</v>
          </cell>
        </row>
        <row r="802">
          <cell r="K802">
            <v>0.8</v>
          </cell>
        </row>
        <row r="803">
          <cell r="K803">
            <v>69</v>
          </cell>
        </row>
        <row r="804">
          <cell r="K804">
            <v>90</v>
          </cell>
        </row>
        <row r="805">
          <cell r="K805">
            <v>0.74</v>
          </cell>
        </row>
        <row r="806">
          <cell r="K806">
            <v>0.98</v>
          </cell>
        </row>
        <row r="807">
          <cell r="K807">
            <v>0.84</v>
          </cell>
        </row>
        <row r="808">
          <cell r="K808">
            <v>0.75</v>
          </cell>
        </row>
        <row r="810">
          <cell r="K810">
            <v>0.97</v>
          </cell>
        </row>
        <row r="812">
          <cell r="K812">
            <v>0.64</v>
          </cell>
        </row>
        <row r="813">
          <cell r="K813">
            <v>0.68</v>
          </cell>
        </row>
        <row r="814">
          <cell r="K814">
            <v>0.67</v>
          </cell>
        </row>
        <row r="815">
          <cell r="K815">
            <v>0.79</v>
          </cell>
        </row>
        <row r="816">
          <cell r="K816">
            <v>1</v>
          </cell>
        </row>
        <row r="817">
          <cell r="K817">
            <v>0.66</v>
          </cell>
        </row>
        <row r="818">
          <cell r="K818">
            <v>0.97</v>
          </cell>
        </row>
        <row r="819">
          <cell r="K819">
            <v>0.62</v>
          </cell>
        </row>
        <row r="821">
          <cell r="K821">
            <v>0.79</v>
          </cell>
        </row>
        <row r="822">
          <cell r="K822">
            <v>0.86</v>
          </cell>
        </row>
        <row r="823">
          <cell r="K823">
            <v>0.65</v>
          </cell>
        </row>
        <row r="824">
          <cell r="K824">
            <v>0.99</v>
          </cell>
        </row>
        <row r="825">
          <cell r="K825">
            <v>85</v>
          </cell>
        </row>
        <row r="826">
          <cell r="K826">
            <v>0.81</v>
          </cell>
        </row>
        <row r="827">
          <cell r="K827">
            <v>0.64</v>
          </cell>
        </row>
        <row r="828">
          <cell r="K828">
            <v>0.84</v>
          </cell>
        </row>
        <row r="829">
          <cell r="K829">
            <v>0.66</v>
          </cell>
        </row>
        <row r="830">
          <cell r="K830">
            <v>75</v>
          </cell>
        </row>
        <row r="832">
          <cell r="K832">
            <v>0.63</v>
          </cell>
        </row>
        <row r="833">
          <cell r="K833">
            <v>0.7</v>
          </cell>
        </row>
        <row r="834">
          <cell r="K834">
            <v>0.9</v>
          </cell>
        </row>
        <row r="835">
          <cell r="K835">
            <v>79</v>
          </cell>
        </row>
        <row r="836">
          <cell r="K836">
            <v>0.6</v>
          </cell>
        </row>
        <row r="838">
          <cell r="K838">
            <v>0.8</v>
          </cell>
        </row>
        <row r="839">
          <cell r="K839">
            <v>88</v>
          </cell>
        </row>
        <row r="840">
          <cell r="K840">
            <v>0.8</v>
          </cell>
        </row>
        <row r="841">
          <cell r="K841">
            <v>0.71</v>
          </cell>
        </row>
        <row r="842">
          <cell r="K842">
            <v>0.76</v>
          </cell>
        </row>
        <row r="843">
          <cell r="K843">
            <v>0.93</v>
          </cell>
        </row>
        <row r="845">
          <cell r="K845">
            <v>0.83</v>
          </cell>
        </row>
        <row r="846">
          <cell r="K846">
            <v>0.71</v>
          </cell>
        </row>
        <row r="847">
          <cell r="K847">
            <v>0.96</v>
          </cell>
        </row>
        <row r="849">
          <cell r="K849">
            <v>0.65</v>
          </cell>
        </row>
        <row r="851">
          <cell r="K851">
            <v>0.71</v>
          </cell>
        </row>
        <row r="852">
          <cell r="K852">
            <v>63</v>
          </cell>
        </row>
        <row r="854">
          <cell r="K854">
            <v>0.97</v>
          </cell>
        </row>
        <row r="857">
          <cell r="K857">
            <v>0.85</v>
          </cell>
        </row>
        <row r="858">
          <cell r="K858">
            <v>0.82</v>
          </cell>
        </row>
        <row r="859">
          <cell r="K859">
            <v>0.95</v>
          </cell>
        </row>
        <row r="860">
          <cell r="K860">
            <v>94</v>
          </cell>
        </row>
        <row r="861">
          <cell r="K861">
            <v>0.96</v>
          </cell>
        </row>
        <row r="862">
          <cell r="K862">
            <v>0.63</v>
          </cell>
        </row>
        <row r="863">
          <cell r="K863">
            <v>0.6</v>
          </cell>
        </row>
        <row r="864">
          <cell r="K864">
            <v>0.77</v>
          </cell>
        </row>
        <row r="865">
          <cell r="K865">
            <v>0.63</v>
          </cell>
        </row>
        <row r="866">
          <cell r="K866">
            <v>0.61</v>
          </cell>
        </row>
        <row r="867">
          <cell r="K867">
            <v>0.88</v>
          </cell>
        </row>
        <row r="868">
          <cell r="K868">
            <v>0.69</v>
          </cell>
        </row>
        <row r="870">
          <cell r="K870">
            <v>0.82</v>
          </cell>
        </row>
        <row r="871">
          <cell r="K871">
            <v>0.96</v>
          </cell>
        </row>
        <row r="872">
          <cell r="K872">
            <v>0.71</v>
          </cell>
        </row>
        <row r="873">
          <cell r="K873">
            <v>0.77</v>
          </cell>
        </row>
        <row r="875">
          <cell r="K875">
            <v>0.73</v>
          </cell>
        </row>
        <row r="876">
          <cell r="K876">
            <v>0.6</v>
          </cell>
        </row>
        <row r="877">
          <cell r="K877">
            <v>0.67</v>
          </cell>
        </row>
        <row r="878">
          <cell r="K878">
            <v>0.8</v>
          </cell>
        </row>
        <row r="880">
          <cell r="K880">
            <v>0.87</v>
          </cell>
        </row>
        <row r="883">
          <cell r="K883">
            <v>0.89</v>
          </cell>
        </row>
        <row r="884">
          <cell r="K884">
            <v>0.93</v>
          </cell>
        </row>
        <row r="885">
          <cell r="K885">
            <v>0.84</v>
          </cell>
        </row>
        <row r="886">
          <cell r="K886">
            <v>0.78</v>
          </cell>
        </row>
        <row r="887">
          <cell r="K887">
            <v>0.9</v>
          </cell>
        </row>
        <row r="888">
          <cell r="K888">
            <v>0.88</v>
          </cell>
        </row>
        <row r="889">
          <cell r="K889">
            <v>0.76</v>
          </cell>
        </row>
        <row r="890">
          <cell r="K890">
            <v>0.62</v>
          </cell>
        </row>
        <row r="892">
          <cell r="K892">
            <v>75</v>
          </cell>
        </row>
        <row r="893">
          <cell r="K893">
            <v>80</v>
          </cell>
        </row>
        <row r="894">
          <cell r="K894">
            <v>0.63</v>
          </cell>
        </row>
        <row r="895">
          <cell r="K895">
            <v>0.84</v>
          </cell>
        </row>
        <row r="896">
          <cell r="K896">
            <v>78</v>
          </cell>
        </row>
        <row r="897">
          <cell r="K897">
            <v>0.74</v>
          </cell>
        </row>
        <row r="898">
          <cell r="K898">
            <v>0.9</v>
          </cell>
        </row>
        <row r="901">
          <cell r="K901">
            <v>75</v>
          </cell>
        </row>
        <row r="902">
          <cell r="K902">
            <v>0.72</v>
          </cell>
        </row>
        <row r="903">
          <cell r="K903">
            <v>0.92</v>
          </cell>
        </row>
        <row r="906">
          <cell r="K906">
            <v>0.86</v>
          </cell>
        </row>
        <row r="907">
          <cell r="K907">
            <v>85</v>
          </cell>
        </row>
        <row r="908">
          <cell r="K908">
            <v>62</v>
          </cell>
        </row>
        <row r="909">
          <cell r="K909">
            <v>0.91</v>
          </cell>
        </row>
        <row r="910">
          <cell r="K910">
            <v>0.8</v>
          </cell>
        </row>
        <row r="911">
          <cell r="K911">
            <v>0.72</v>
          </cell>
        </row>
        <row r="914">
          <cell r="K914">
            <v>0.74</v>
          </cell>
        </row>
        <row r="915">
          <cell r="K915">
            <v>0.82</v>
          </cell>
        </row>
        <row r="916">
          <cell r="K916">
            <v>0.85</v>
          </cell>
        </row>
        <row r="917">
          <cell r="K917">
            <v>0.68</v>
          </cell>
        </row>
        <row r="918">
          <cell r="K918">
            <v>0.99</v>
          </cell>
        </row>
        <row r="919">
          <cell r="K919">
            <v>0.62</v>
          </cell>
        </row>
        <row r="921">
          <cell r="K921">
            <v>0.83</v>
          </cell>
        </row>
        <row r="922">
          <cell r="K922">
            <v>0.92</v>
          </cell>
        </row>
        <row r="923">
          <cell r="K923">
            <v>0.85</v>
          </cell>
        </row>
        <row r="926">
          <cell r="K926">
            <v>0.89</v>
          </cell>
        </row>
        <row r="927">
          <cell r="K927">
            <v>0.81</v>
          </cell>
        </row>
        <row r="928">
          <cell r="K928">
            <v>61</v>
          </cell>
        </row>
        <row r="930">
          <cell r="K930">
            <v>0.92</v>
          </cell>
        </row>
        <row r="931">
          <cell r="K931">
            <v>0.96</v>
          </cell>
        </row>
        <row r="932">
          <cell r="K932">
            <v>0.66</v>
          </cell>
        </row>
        <row r="933">
          <cell r="K933">
            <v>0.64</v>
          </cell>
        </row>
        <row r="934">
          <cell r="K934">
            <v>1</v>
          </cell>
        </row>
        <row r="935">
          <cell r="K935">
            <v>0.95</v>
          </cell>
        </row>
        <row r="936">
          <cell r="K936">
            <v>91</v>
          </cell>
        </row>
        <row r="937">
          <cell r="K937">
            <v>0.82</v>
          </cell>
        </row>
        <row r="938">
          <cell r="K938">
            <v>0.95</v>
          </cell>
        </row>
        <row r="939">
          <cell r="K939">
            <v>0.95</v>
          </cell>
        </row>
        <row r="940">
          <cell r="K940">
            <v>69</v>
          </cell>
        </row>
        <row r="941">
          <cell r="K941">
            <v>0.91</v>
          </cell>
        </row>
        <row r="943">
          <cell r="K943">
            <v>0.62</v>
          </cell>
        </row>
        <row r="944">
          <cell r="K944">
            <v>0.81</v>
          </cell>
        </row>
        <row r="945">
          <cell r="K945">
            <v>0.94</v>
          </cell>
        </row>
        <row r="946">
          <cell r="K946">
            <v>0.95</v>
          </cell>
        </row>
        <row r="947">
          <cell r="K947">
            <v>1</v>
          </cell>
        </row>
        <row r="948">
          <cell r="K948">
            <v>0.94</v>
          </cell>
        </row>
        <row r="949">
          <cell r="K949">
            <v>0.92</v>
          </cell>
        </row>
        <row r="950">
          <cell r="K950">
            <v>0.95</v>
          </cell>
        </row>
        <row r="951">
          <cell r="K951">
            <v>0.97</v>
          </cell>
        </row>
        <row r="952">
          <cell r="K952">
            <v>0.75</v>
          </cell>
        </row>
        <row r="953">
          <cell r="K953">
            <v>0.78</v>
          </cell>
        </row>
        <row r="954">
          <cell r="K954">
            <v>0.65</v>
          </cell>
        </row>
        <row r="955">
          <cell r="K955">
            <v>70</v>
          </cell>
        </row>
        <row r="956">
          <cell r="K956">
            <v>78</v>
          </cell>
        </row>
        <row r="957">
          <cell r="K957">
            <v>0.96</v>
          </cell>
        </row>
        <row r="958">
          <cell r="K958">
            <v>0.8</v>
          </cell>
        </row>
        <row r="959">
          <cell r="K959">
            <v>0.64</v>
          </cell>
        </row>
        <row r="960">
          <cell r="K960">
            <v>0.92</v>
          </cell>
        </row>
        <row r="962">
          <cell r="K962">
            <v>71</v>
          </cell>
        </row>
        <row r="963">
          <cell r="K963">
            <v>0.95</v>
          </cell>
        </row>
        <row r="964">
          <cell r="K964">
            <v>0.86</v>
          </cell>
        </row>
        <row r="965">
          <cell r="K965">
            <v>0.77</v>
          </cell>
        </row>
        <row r="967">
          <cell r="K967">
            <v>0.72</v>
          </cell>
        </row>
        <row r="968">
          <cell r="K968">
            <v>0.7</v>
          </cell>
        </row>
        <row r="969">
          <cell r="K969">
            <v>0.86</v>
          </cell>
        </row>
        <row r="971">
          <cell r="K971">
            <v>0.82</v>
          </cell>
        </row>
        <row r="972">
          <cell r="K972">
            <v>0.81</v>
          </cell>
        </row>
        <row r="973">
          <cell r="K973">
            <v>0.76</v>
          </cell>
        </row>
        <row r="974">
          <cell r="K974">
            <v>0.9</v>
          </cell>
        </row>
        <row r="975">
          <cell r="K975">
            <v>0.67</v>
          </cell>
        </row>
        <row r="976">
          <cell r="K976">
            <v>0.61</v>
          </cell>
        </row>
        <row r="977">
          <cell r="K977">
            <v>0.73</v>
          </cell>
        </row>
        <row r="979">
          <cell r="K979">
            <v>0.9</v>
          </cell>
        </row>
        <row r="980">
          <cell r="K980">
            <v>0.64</v>
          </cell>
        </row>
        <row r="981">
          <cell r="K981">
            <v>0.63</v>
          </cell>
        </row>
        <row r="983">
          <cell r="K983">
            <v>0.67</v>
          </cell>
        </row>
        <row r="984">
          <cell r="K984">
            <v>0.97</v>
          </cell>
        </row>
        <row r="985">
          <cell r="K985">
            <v>69</v>
          </cell>
        </row>
        <row r="986">
          <cell r="K986">
            <v>0.73</v>
          </cell>
        </row>
        <row r="987">
          <cell r="K987">
            <v>0.86</v>
          </cell>
        </row>
        <row r="988">
          <cell r="K988">
            <v>81</v>
          </cell>
        </row>
        <row r="989">
          <cell r="K989">
            <v>0.74</v>
          </cell>
        </row>
        <row r="990">
          <cell r="K990">
            <v>64</v>
          </cell>
        </row>
        <row r="991">
          <cell r="K991">
            <v>0.76</v>
          </cell>
        </row>
        <row r="992">
          <cell r="K992">
            <v>73</v>
          </cell>
        </row>
        <row r="993">
          <cell r="K993">
            <v>0.69</v>
          </cell>
        </row>
        <row r="994">
          <cell r="K994">
            <v>0.79</v>
          </cell>
        </row>
        <row r="995">
          <cell r="K995">
            <v>89</v>
          </cell>
        </row>
        <row r="996">
          <cell r="K996">
            <v>0.95</v>
          </cell>
        </row>
        <row r="997">
          <cell r="K997">
            <v>0.68</v>
          </cell>
        </row>
        <row r="998">
          <cell r="K998">
            <v>82</v>
          </cell>
        </row>
        <row r="999">
          <cell r="K999">
            <v>0.94</v>
          </cell>
        </row>
        <row r="1000">
          <cell r="K1000">
            <v>97</v>
          </cell>
        </row>
        <row r="1001">
          <cell r="K1001">
            <v>72</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0.640851851851" backgroundQuery="1" createdVersion="8" refreshedVersion="8" minRefreshableVersion="3" recordCount="0" supportSubquery="1" supportAdvancedDrill="1" xr:uid="{1C8B1413-4AA2-452E-BA31-A9FB2697D74B}">
  <cacheSource type="external" connectionId="1"/>
  <cacheFields count="3">
    <cacheField name="[Range].[primary_skill].[primary_skill]" caption="primary_skill" numFmtId="0" hierarchy="6" level="1">
      <sharedItems count="10">
        <s v="AI"/>
        <s v="Blockchain Development"/>
        <s v="Cybersecurity"/>
        <s v="Data Analysis"/>
        <s v="DevOps"/>
        <s v="Graphic Design"/>
        <s v="Machine Learning"/>
        <s v="Mobile Apps"/>
        <s v="UI/UX Design"/>
        <s v="Web Development"/>
      </sharedItems>
    </cacheField>
    <cacheField name="[Measures].[Average of Rating]" caption="Average of Rating" numFmtId="0" hierarchy="21" level="32767"/>
    <cacheField name="[Range].[status].[status]" caption="status" numFmtId="0" hierarchy="13" level="1">
      <sharedItems containsSemiMixedTypes="0" containsNonDate="0" containsString="0"/>
    </cacheField>
  </cacheFields>
  <cacheHierarchies count="23">
    <cacheHierarchy uniqueName="[Range].[freelancer_ID]" caption="freelancer_ID" attribute="1" defaultMemberUniqueName="[Range].[freelancer_ID].[All]" allUniqueName="[Range].[freelancer_ID].[All]" dimensionUniqueName="[Range]" displayFolder="" count="2" memberValueDatatype="130" unbalanced="0"/>
    <cacheHierarchy uniqueName="[Range].[names]" caption="names" attribute="1" defaultMemberUniqueName="[Range].[names].[All]" allUniqueName="[Range].[names].[All]" dimensionUniqueName="[Range]" displayFolder="" count="2" memberValueDatatype="130" unbalanced="0"/>
    <cacheHierarchy uniqueName="[Range].[sex]" caption="sex" attribute="1" defaultMemberUniqueName="[Range].[sex].[All]" allUniqueName="[Range].[sex].[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0"/>
      </fieldsUsage>
    </cacheHierarchy>
    <cacheHierarchy uniqueName="[Range].[years_of_experience]" caption="years_of_experience" attribute="1" defaultMemberUniqueName="[Range].[years_of_experience].[All]" allUniqueName="[Range].[years_of_experience].[All]" dimensionUniqueName="[Range]" displayFolder="" count="2" memberValueDatatype="20" unbalanced="0"/>
    <cacheHierarchy uniqueName="[Range].[ex bucket]" caption="ex bucket" attribute="1" defaultMemberUniqueName="[Range].[ex bucket].[All]" allUniqueName="[Range].[ex bucket].[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Range].[hourly_rate (USD)]" caption="hourly_rate (USD)" attribute="1" defaultMemberUniqueName="[Range].[hourly_rate (USD)].[All]" allUniqueName="[Range].[hourly_rate (USD)].[All]" dimensionUniqueName="[Range]" displayFolder="" count="2" memberValueDatatype="130" unbalanced="0"/>
    <cacheHierarchy uniqueName="[Range].[hr rate]" caption="hr rate" attribute="1" defaultMemberUniqueName="[Range].[hr rate].[All]" allUniqueName="[Range].[hr rate].[All]" dimensionUniqueName="[Range]" displayFolder="" count="2" memberValueDatatype="130" unbalanced="0"/>
    <cacheHierarchy uniqueName="[Range].[hhr rate]" caption="hhr rate" attribute="1" defaultMemberUniqueName="[Range].[hhr rate].[All]" allUniqueName="[Range].[hhr rate].[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ust sat]" caption="cust sat" attribute="1" defaultMemberUniqueName="[Range].[cust sat].[All]" allUniqueName="[Range].[cust sat].[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hr rate]" caption="Sum of hhr rate" measure="1" displayFolder="" measureGroup="Range" count="0" hidden="1">
      <extLst>
        <ext xmlns:x15="http://schemas.microsoft.com/office/spreadsheetml/2010/11/main" uri="{B97F6D7D-B522-45F9-BDA1-12C45D357490}">
          <x15:cacheHierarchy aggregatedColumn="12"/>
        </ext>
      </extLst>
    </cacheHierarchy>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Count of ex bucket]" caption="Count of ex bucket" measure="1" displayFolder="" measureGroup="Range"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ust sat]" caption="Sum of cust sat"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0.640852546298" backgroundQuery="1" createdVersion="8" refreshedVersion="8" minRefreshableVersion="3" recordCount="0" supportSubquery="1" supportAdvancedDrill="1" xr:uid="{12FFB0ED-D8E6-49E9-AB01-64EDE3DECD0E}">
  <cacheSource type="external" connectionId="1"/>
  <cacheFields count="3">
    <cacheField name="[Measures].[Count of freelancer_ID]" caption="Count of freelancer_ID" numFmtId="0" hierarchy="18" level="32767"/>
    <cacheField name="[Range].[ex bucket].[ex bucket]" caption="ex bucket" numFmtId="0" hierarchy="8" level="1">
      <sharedItems count="7">
        <s v=" 16-20"/>
        <s v="0-5"/>
        <s v="11-16"/>
        <s v="21- 25"/>
        <s v="26-30"/>
        <s v="31+"/>
        <s v="5-10"/>
      </sharedItems>
    </cacheField>
    <cacheField name="[Range].[status].[status]" caption="status" numFmtId="0" hierarchy="13" level="1">
      <sharedItems containsSemiMixedTypes="0" containsNonDate="0" containsString="0"/>
    </cacheField>
  </cacheFields>
  <cacheHierarchies count="23">
    <cacheHierarchy uniqueName="[Range].[freelancer_ID]" caption="freelancer_ID" attribute="1" defaultMemberUniqueName="[Range].[freelancer_ID].[All]" allUniqueName="[Range].[freelancer_ID].[All]" dimensionUniqueName="[Range]" displayFolder="" count="0" memberValueDatatype="130" unbalanced="0"/>
    <cacheHierarchy uniqueName="[Range].[names]" caption="names" attribute="1" defaultMemberUniqueName="[Range].[names].[All]" allUniqueName="[Range].[name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 bucket]" caption="ex bucket" attribute="1" defaultMemberUniqueName="[Range].[ex bucket].[All]" allUniqueName="[Range].[ex bucket].[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r rate]" caption="hr rate" attribute="1" defaultMemberUniqueName="[Range].[hr rate].[All]" allUniqueName="[Range].[hr rate].[All]" dimensionUniqueName="[Range]" displayFolder="" count="0" memberValueDatatype="130" unbalanced="0"/>
    <cacheHierarchy uniqueName="[Range].[hhr rate]" caption="hhr rate" attribute="1" defaultMemberUniqueName="[Range].[hhr rate].[All]" allUniqueName="[Range].[hhr rate].[All]" dimensionUniqueName="[Range]" displayFolder="" count="0" memberValueDatatype="2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ust sat]" caption="cust sat" attribute="1" defaultMemberUniqueName="[Range].[cust sat].[All]" allUniqueName="[Range].[cust sa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hr rate]" caption="Sum of hhr rate" measure="1" displayFolder="" measureGroup="Range" count="0" hidden="1">
      <extLst>
        <ext xmlns:x15="http://schemas.microsoft.com/office/spreadsheetml/2010/11/main" uri="{B97F6D7D-B522-45F9-BDA1-12C45D357490}">
          <x15:cacheHierarchy aggregatedColumn="12"/>
        </ext>
      </extLst>
    </cacheHierarchy>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ex bucket]" caption="Count of ex bucket" measure="1" displayFolder="" measureGroup="Range"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y uniqueName="[Measures].[Sum of cust sat]" caption="Sum of cust sat"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0.640853240744" backgroundQuery="1" createdVersion="8" refreshedVersion="8" minRefreshableVersion="3" recordCount="0" supportSubquery="1" supportAdvancedDrill="1" xr:uid="{0BB97238-EF31-4AE2-9F75-BF1AA9A20237}">
  <cacheSource type="external" connectionId="1"/>
  <cacheFields count="3">
    <cacheField name="[Measures].[Count of freelancer_ID]" caption="Count of freelancer_ID" numFmtId="0" hierarchy="18" level="32767"/>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status].[status]" caption="status" numFmtId="0" hierarchy="13" level="1">
      <sharedItems containsSemiMixedTypes="0" containsNonDate="0" containsString="0"/>
    </cacheField>
  </cacheFields>
  <cacheHierarchies count="24">
    <cacheHierarchy uniqueName="[Range].[freelancer_ID]" caption="freelancer_ID" attribute="1" defaultMemberUniqueName="[Range].[freelancer_ID].[All]" allUniqueName="[Range].[freelancer_ID].[All]" dimensionUniqueName="[Range]" displayFolder="" count="2" memberValueDatatype="130" unbalanced="0"/>
    <cacheHierarchy uniqueName="[Range].[names]" caption="names" attribute="1" defaultMemberUniqueName="[Range].[names].[All]" allUniqueName="[Range].[name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 bucket]" caption="ex bucket" attribute="1" defaultMemberUniqueName="[Range].[ex bucket].[All]" allUniqueName="[Range].[ex 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r rate]" caption="hr rate" attribute="1" defaultMemberUniqueName="[Range].[hr rate].[All]" allUniqueName="[Range].[hr rate].[All]" dimensionUniqueName="[Range]" displayFolder="" count="0" memberValueDatatype="130" unbalanced="0"/>
    <cacheHierarchy uniqueName="[Range].[hhr rate]" caption="hhr rate" attribute="1" defaultMemberUniqueName="[Range].[hhr rate].[All]" allUniqueName="[Range].[hhr rate].[All]" dimensionUniqueName="[Range]" displayFolder="" count="0" memberValueDatatype="2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ust sat]" caption="cust sat" attribute="1" defaultMemberUniqueName="[Range].[cust sat].[All]" allUniqueName="[Range].[cust sa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hr rate]" caption="Sum of hhr rate" measure="1" displayFolder="" measureGroup="Range" count="0" hidden="1">
      <extLst>
        <ext xmlns:x15="http://schemas.microsoft.com/office/spreadsheetml/2010/11/main" uri="{B97F6D7D-B522-45F9-BDA1-12C45D357490}">
          <x15:cacheHierarchy aggregatedColumn="12"/>
        </ext>
      </extLst>
    </cacheHierarchy>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ex bucket]" caption="Count of ex bucket" measure="1" displayFolder="" measureGroup="Range"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y uniqueName="[Measures].[Sum of cust sat]" caption="Sum of cust sat" measure="1" displayFolder="" measureGroup="Range" count="0" hidden="1">
      <extLst>
        <ext xmlns:x15="http://schemas.microsoft.com/office/spreadsheetml/2010/11/main" uri="{B97F6D7D-B522-45F9-BDA1-12C45D357490}">
          <x15:cacheHierarchy aggregatedColumn="14"/>
        </ext>
      </extLst>
    </cacheHierarchy>
    <cacheHierarchy uniqueName="[Measures].[Average of cust sat]" caption="Average of cust sat"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0.640853819445" backgroundQuery="1" createdVersion="8" refreshedVersion="8" minRefreshableVersion="3" recordCount="0" supportSubquery="1" supportAdvancedDrill="1" xr:uid="{9360A890-7FA0-4464-8DE9-BCCF06B8B1FC}">
  <cacheSource type="external" connectionId="1"/>
  <cacheFields count="3">
    <cacheField name="[Measures].[Count of freelancer_ID]" caption="Count of freelancer_ID" numFmtId="0" hierarchy="18" level="32767"/>
    <cacheField name="[Range].[hhr rate].[hhr rate]" caption="hhr rate" numFmtId="0" hierarchy="12" level="1">
      <sharedItems containsString="0" containsBlank="1" containsNumber="1" containsInteger="1" minValue="0" maxValue="100" count="8">
        <m/>
        <n v="0"/>
        <n v="20"/>
        <n v="30"/>
        <n v="40"/>
        <n v="50"/>
        <n v="75"/>
        <n v="100"/>
      </sharedItems>
      <extLst>
        <ext xmlns:x15="http://schemas.microsoft.com/office/spreadsheetml/2010/11/main" uri="{4F2E5C28-24EA-4eb8-9CBF-B6C8F9C3D259}">
          <x15:cachedUniqueNames>
            <x15:cachedUniqueName index="1" name="[Range].[hhr rate].&amp;[0]"/>
            <x15:cachedUniqueName index="2" name="[Range].[hhr rate].&amp;[20]"/>
            <x15:cachedUniqueName index="3" name="[Range].[hhr rate].&amp;[30]"/>
            <x15:cachedUniqueName index="4" name="[Range].[hhr rate].&amp;[40]"/>
            <x15:cachedUniqueName index="5" name="[Range].[hhr rate].&amp;[50]"/>
            <x15:cachedUniqueName index="6" name="[Range].[hhr rate].&amp;[75]"/>
            <x15:cachedUniqueName index="7" name="[Range].[hhr rate].&amp;[100]"/>
          </x15:cachedUniqueNames>
        </ext>
      </extLst>
    </cacheField>
    <cacheField name="[Range].[status].[status]" caption="status" numFmtId="0" hierarchy="13" level="1">
      <sharedItems containsSemiMixedTypes="0" containsNonDate="0" containsString="0"/>
    </cacheField>
  </cacheFields>
  <cacheHierarchies count="23">
    <cacheHierarchy uniqueName="[Range].[freelancer_ID]" caption="freelancer_ID" attribute="1" defaultMemberUniqueName="[Range].[freelancer_ID].[All]" allUniqueName="[Range].[freelancer_ID].[All]" dimensionUniqueName="[Range]" displayFolder="" count="2" memberValueDatatype="130" unbalanced="0"/>
    <cacheHierarchy uniqueName="[Range].[names]" caption="names" attribute="1" defaultMemberUniqueName="[Range].[names].[All]" allUniqueName="[Range].[name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 bucket]" caption="ex bucket" attribute="1" defaultMemberUniqueName="[Range].[ex bucket].[All]" allUniqueName="[Range].[ex 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r rate]" caption="hr rate" attribute="1" defaultMemberUniqueName="[Range].[hr rate].[All]" allUniqueName="[Range].[hr rate].[All]" dimensionUniqueName="[Range]" displayFolder="" count="0" memberValueDatatype="130" unbalanced="0"/>
    <cacheHierarchy uniqueName="[Range].[hhr rate]" caption="hhr rate" attribute="1" defaultMemberUniqueName="[Range].[hhr rate].[All]" allUniqueName="[Range].[hhr rate].[All]" dimensionUniqueName="[Range]" displayFolder="" count="2" memberValueDatatype="20" unbalanced="0">
      <fieldsUsage count="2">
        <fieldUsage x="-1"/>
        <fieldUsage x="1"/>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ust sat]" caption="cust sat" attribute="1" defaultMemberUniqueName="[Range].[cust sat].[All]" allUniqueName="[Range].[cust sa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hr rate]" caption="Sum of hhr rate" measure="1" displayFolder="" measureGroup="Range" count="0" hidden="1">
      <extLst>
        <ext xmlns:x15="http://schemas.microsoft.com/office/spreadsheetml/2010/11/main" uri="{B97F6D7D-B522-45F9-BDA1-12C45D357490}">
          <x15:cacheHierarchy aggregatedColumn="12"/>
        </ext>
      </extLst>
    </cacheHierarchy>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ex bucket]" caption="Count of ex bucket" measure="1" displayFolder="" measureGroup="Range"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y uniqueName="[Measures].[Sum of cust sat]" caption="Sum of cust sat"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0.640854745368" backgroundQuery="1" createdVersion="8" refreshedVersion="8" minRefreshableVersion="3" recordCount="0" supportSubquery="1" supportAdvancedDrill="1" xr:uid="{4C27CD97-9A4F-4936-BF70-142CA9CDD9C9}">
  <cacheSource type="external" connectionId="1"/>
  <cacheFields count="3">
    <cacheField name="[Range].[language].[language]" caption="language" numFmtId="0" hierarchy="5" level="1">
      <sharedItems count="16">
        <s v="Afrikaans"/>
        <s v="Arabic"/>
        <s v="Dutch"/>
        <s v="English"/>
        <s v="French"/>
        <s v="German"/>
        <s v="Hindi"/>
        <s v="Indonesian"/>
        <s v="Italian"/>
        <s v="Japanese"/>
        <s v="Korean"/>
        <s v="Mandarin"/>
        <s v="Portuguese"/>
        <s v="Russian"/>
        <s v="Spanish"/>
        <s v="Turkish"/>
      </sharedItems>
    </cacheField>
    <cacheField name="[Measures].[Count of freelancer_ID]" caption="Count of freelancer_ID" numFmtId="0" hierarchy="18" level="32767"/>
    <cacheField name="[Range].[status].[status]" caption="status" numFmtId="0" hierarchy="13" level="1">
      <sharedItems containsSemiMixedTypes="0" containsNonDate="0" containsString="0"/>
    </cacheField>
  </cacheFields>
  <cacheHierarchies count="24">
    <cacheHierarchy uniqueName="[Range].[freelancer_ID]" caption="freelancer_ID" attribute="1" defaultMemberUniqueName="[Range].[freelancer_ID].[All]" allUniqueName="[Range].[freelancer_ID].[All]" dimensionUniqueName="[Range]" displayFolder="" count="2" memberValueDatatype="130" unbalanced="0"/>
    <cacheHierarchy uniqueName="[Range].[names]" caption="names" attribute="1" defaultMemberUniqueName="[Range].[names].[All]" allUniqueName="[Range].[name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0"/>
      </fieldsUsage>
    </cacheHierarchy>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 bucket]" caption="ex bucket" attribute="1" defaultMemberUniqueName="[Range].[ex bucket].[All]" allUniqueName="[Range].[ex 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r rate]" caption="hr rate" attribute="1" defaultMemberUniqueName="[Range].[hr rate].[All]" allUniqueName="[Range].[hr rate].[All]" dimensionUniqueName="[Range]" displayFolder="" count="0" memberValueDatatype="130" unbalanced="0"/>
    <cacheHierarchy uniqueName="[Range].[hhr rate]" caption="hhr rate" attribute="1" defaultMemberUniqueName="[Range].[hhr rate].[All]" allUniqueName="[Range].[hhr rate].[All]" dimensionUniqueName="[Range]" displayFolder="" count="0" memberValueDatatype="2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ust sat]" caption="cust sat" attribute="1" defaultMemberUniqueName="[Range].[cust sat].[All]" allUniqueName="[Range].[cust sa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hr rate]" caption="Sum of hhr rate" measure="1" displayFolder="" measureGroup="Range" count="0" hidden="1">
      <extLst>
        <ext xmlns:x15="http://schemas.microsoft.com/office/spreadsheetml/2010/11/main" uri="{B97F6D7D-B522-45F9-BDA1-12C45D357490}">
          <x15:cacheHierarchy aggregatedColumn="12"/>
        </ext>
      </extLst>
    </cacheHierarchy>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ex bucket]" caption="Count of ex bucket" measure="1" displayFolder="" measureGroup="Range"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y uniqueName="[Measures].[Sum of cust sat]" caption="Sum of cust sat" measure="1" displayFolder="" measureGroup="Range" count="0" hidden="1">
      <extLst>
        <ext xmlns:x15="http://schemas.microsoft.com/office/spreadsheetml/2010/11/main" uri="{B97F6D7D-B522-45F9-BDA1-12C45D357490}">
          <x15:cacheHierarchy aggregatedColumn="14"/>
        </ext>
      </extLst>
    </cacheHierarchy>
    <cacheHierarchy uniqueName="[Measures].[Average of cust sat]" caption="Average of cust sat"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0.617857175923" backgroundQuery="1" createdVersion="3" refreshedVersion="8" minRefreshableVersion="3" recordCount="0" supportSubquery="1" supportAdvancedDrill="1" xr:uid="{26ECD2D5-7794-4642-842F-1D21444B1A2A}">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Range].[freelancer_ID]" caption="freelancer_ID" attribute="1" defaultMemberUniqueName="[Range].[freelancer_ID].[All]" allUniqueName="[Range].[freelancer_ID].[All]" dimensionUniqueName="[Range]" displayFolder="" count="0" memberValueDatatype="130" unbalanced="0"/>
    <cacheHierarchy uniqueName="[Range].[names]" caption="names" attribute="1" defaultMemberUniqueName="[Range].[names].[All]" allUniqueName="[Range].[names].[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 bucket]" caption="ex bucket" attribute="1" defaultMemberUniqueName="[Range].[ex bucket].[All]" allUniqueName="[Range].[ex 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r rate]" caption="hr rate" attribute="1" defaultMemberUniqueName="[Range].[hr rate].[All]" allUniqueName="[Range].[hr rate].[All]" dimensionUniqueName="[Range]" displayFolder="" count="0" memberValueDatatype="130" unbalanced="0"/>
    <cacheHierarchy uniqueName="[Range].[hhr rate]" caption="hhr rate" attribute="1" defaultMemberUniqueName="[Range].[hhr rate].[All]" allUniqueName="[Range].[hhr rate].[All]" dimensionUniqueName="[Range]" displayFolder="" count="0" memberValueDatatype="20" unbalanced="0"/>
    <cacheHierarchy uniqueName="[Range].[status]" caption="status" attribute="1" defaultMemberUniqueName="[Range].[status].[All]" allUniqueName="[Range].[status].[All]" dimensionUniqueName="[Range]" displayFolder="" count="2" memberValueDatatype="130" unbalanced="0"/>
    <cacheHierarchy uniqueName="[Range].[cust sat]" caption="cust sat" attribute="1" defaultMemberUniqueName="[Range].[cust sat].[All]" allUniqueName="[Range].[cust sa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hr rate]" caption="Sum of hhr rate" measure="1" displayFolder="" measureGroup="Range" count="0" hidden="1">
      <extLst>
        <ext xmlns:x15="http://schemas.microsoft.com/office/spreadsheetml/2010/11/main" uri="{B97F6D7D-B522-45F9-BDA1-12C45D357490}">
          <x15:cacheHierarchy aggregatedColumn="12"/>
        </ext>
      </extLst>
    </cacheHierarchy>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Count of ex bucket]" caption="Count of ex bucket" measure="1" displayFolder="" measureGroup="Range"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9"/>
        </ext>
      </extLst>
    </cacheHierarchy>
    <cacheHierarchy uniqueName="[Measures].[Sum of cust sat]" caption="Sum of cust sat" measure="1" displayFolder="" measureGroup="Range" count="0" hidden="1">
      <extLst>
        <ext xmlns:x15="http://schemas.microsoft.com/office/spreadsheetml/2010/11/main" uri="{B97F6D7D-B522-45F9-BDA1-12C45D357490}">
          <x15:cacheHierarchy aggregatedColumn="14"/>
        </ext>
      </extLst>
    </cacheHierarchy>
    <cacheHierarchy uniqueName="[Measures].[Average of cust sat]" caption="Average of cust sat"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448311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4E8C55-2BFD-4373-B97F-D8C806BEDC34}"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H4:I13"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4"/>
    </i>
    <i>
      <x v="7"/>
    </i>
    <i>
      <x v="5"/>
    </i>
    <i>
      <x v="3"/>
    </i>
    <i>
      <x v="2"/>
    </i>
    <i>
      <x v="6"/>
    </i>
    <i>
      <x v="1"/>
    </i>
    <i>
      <x/>
    </i>
    <i t="grand">
      <x/>
    </i>
  </rowItems>
  <colItems count="1">
    <i/>
  </colItems>
  <dataFields count="1">
    <dataField name="Count of freelancer_ID" fld="0" subtotal="count" baseField="0" baseItem="0" numFmtId="1"/>
  </dataFields>
  <formats count="2">
    <format dxfId="2">
      <pivotArea outline="0" collapsedLevelsAreSubtotals="1"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ACTIVE]"/>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324F1D-6497-4023-9FC4-C199BE73BA95}"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E4:F12"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1"/>
    </i>
    <i>
      <x v="6"/>
    </i>
    <i>
      <x v="2"/>
    </i>
    <i>
      <x v="3"/>
    </i>
    <i>
      <x/>
    </i>
    <i>
      <x v="5"/>
    </i>
    <i>
      <x v="4"/>
    </i>
    <i t="grand">
      <x/>
    </i>
  </rowItems>
  <colItems count="1">
    <i/>
  </colItems>
  <dataFields count="1">
    <dataField name="Count of freelancer_ID" fld="0" subtotal="count" showDataAs="percentOfTotal" baseField="1" baseItem="3" numFmtId="9"/>
  </dataFields>
  <formats count="2">
    <format dxfId="4">
      <pivotArea outline="0" collapsedLevelsAreSubtotals="1"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ACTIVE]"/>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BDF5C-4417-481E-BCCE-F062438869EA}"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1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6"/>
    </i>
    <i>
      <x v="8"/>
    </i>
    <i>
      <x v="5"/>
    </i>
    <i>
      <x v="4"/>
    </i>
    <i>
      <x v="2"/>
    </i>
    <i>
      <x v="3"/>
    </i>
    <i>
      <x v="1"/>
    </i>
    <i>
      <x v="9"/>
    </i>
    <i>
      <x v="7"/>
    </i>
    <i t="grand">
      <x/>
    </i>
  </rowItems>
  <colItems count="1">
    <i/>
  </colItems>
  <dataFields count="1">
    <dataField name="Average of Rating" fld="1" subtotal="average" baseField="0" baseItem="0" numFmtId="164"/>
  </dataFields>
  <formats count="2">
    <format dxfId="6">
      <pivotArea outline="0" collapsedLevelsAreSubtotals="1"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ACTIVE]"/>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679206-D710-411F-AD10-6C2EE91DEC6C}"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P4:Q26" firstHeaderRow="1" firstDataRow="1" firstDataCol="1"/>
  <pivotFields count="3">
    <pivotField dataField="1" subtotalTop="0" showAll="0" defaultSubtotal="0"/>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2">
    <i>
      <x v="20"/>
    </i>
    <i>
      <x v="7"/>
    </i>
    <i>
      <x v="19"/>
    </i>
    <i>
      <x v="3"/>
    </i>
    <i>
      <x v="12"/>
    </i>
    <i>
      <x v="16"/>
    </i>
    <i>
      <x/>
    </i>
    <i>
      <x v="9"/>
    </i>
    <i>
      <x v="10"/>
    </i>
    <i>
      <x v="6"/>
    </i>
    <i>
      <x v="17"/>
    </i>
    <i>
      <x v="1"/>
    </i>
    <i>
      <x v="4"/>
    </i>
    <i>
      <x v="18"/>
    </i>
    <i>
      <x v="13"/>
    </i>
    <i>
      <x v="11"/>
    </i>
    <i>
      <x v="8"/>
    </i>
    <i>
      <x v="15"/>
    </i>
    <i>
      <x v="5"/>
    </i>
    <i>
      <x v="14"/>
    </i>
    <i>
      <x v="2"/>
    </i>
    <i t="grand">
      <x/>
    </i>
  </rowItems>
  <colItems count="1">
    <i/>
  </colItems>
  <dataFields count="1">
    <dataField name="Count of freelancer_ID" fld="0" subtotal="count" baseField="0" baseItem="0"/>
  </dataFields>
  <formats count="1">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ACTIVE]"/>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 sat"/>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67A3D-66B8-4D37-A096-1F02453546A7}"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L4:M21" firstHeaderRow="1" firstDataRow="1" firstDataCol="1"/>
  <pivotFields count="3">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3"/>
    </i>
    <i>
      <x v="14"/>
    </i>
    <i>
      <x v="5"/>
    </i>
    <i>
      <x v="10"/>
    </i>
    <i>
      <x v="8"/>
    </i>
    <i>
      <x v="7"/>
    </i>
    <i>
      <x v="4"/>
    </i>
    <i>
      <x v="11"/>
    </i>
    <i>
      <x v="15"/>
    </i>
    <i>
      <x v="2"/>
    </i>
    <i>
      <x v="1"/>
    </i>
    <i>
      <x v="9"/>
    </i>
    <i>
      <x v="6"/>
    </i>
    <i>
      <x/>
    </i>
    <i>
      <x v="13"/>
    </i>
    <i>
      <x v="12"/>
    </i>
    <i t="grand">
      <x/>
    </i>
  </rowItems>
  <colItems count="1">
    <i/>
  </colItems>
  <dataFields count="1">
    <dataField name="Count of freelancer_ID" fld="1" subtotal="count" baseField="0" baseItem="0"/>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ACTIVE]"/>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 sat"/>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64AE245B-4332-4534-8491-AB70F2BBF4E1}" sourceName="[Range].[primary_skill]">
  <pivotTables>
    <pivotTable tabId="7" name="PivotTable1"/>
    <pivotTable tabId="7" name="PivotTable2"/>
    <pivotTable tabId="7" name="PivotTable3"/>
    <pivotTable tabId="7" name="PivotTable4"/>
    <pivotTable tabId="7" name="PivotTable5"/>
  </pivotTables>
  <data>
    <olap pivotCacheId="1844831155">
      <levels count="2">
        <level uniqueName="[Range].[primary_skill].[(All)]" sourceCaption="(All)" count="0"/>
        <level uniqueName="[Range].[primary_skill].[primary_skill]" sourceCaption="primary_skill" count="11">
          <ranges>
            <range startItem="0">
              <i n="[Range].[primary_skill].&amp;[AI]" c="AI"/>
              <i n="[Range].[primary_skill].&amp;[Blockchain Development]" c="Blockchain Development"/>
              <i n="[Range].[primary_skill].&amp;[Cybersecurity]" c="Cybersecurity"/>
              <i n="[Range].[primary_skill].&amp;[Data Analysis]" c="Data Analysis"/>
              <i n="[Range].[primary_skill].&amp;[DevOps]" c="DevOps"/>
              <i n="[Range].[primary_skill].&amp;[Graphic Design]" c="Graphic Design"/>
              <i n="[Range].[primary_skill].&amp;[Machine Learning]" c="Machine Learning"/>
              <i n="[Range].[primary_skill].&amp;[Mobile Apps]" c="Mobile Apps"/>
              <i n="[Range].[primary_skill].&amp;[UI/UX Design]" c="UI/UX Design"/>
              <i n="[Range].[primary_skill].&amp;[Web Development]" c="Web Development"/>
              <i n="[Range].[primary_skill].&amp;" c="(blank)" nd="1"/>
            </range>
          </ranges>
        </level>
      </levels>
      <selections count="1">
        <selection n="[Range].[primary_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5A0034C-BAE8-42D9-B299-749EA62642A2}" sourceName="[Range].[status]">
  <pivotTables>
    <pivotTable tabId="7" name="PivotTable1"/>
    <pivotTable tabId="7" name="PivotTable2"/>
    <pivotTable tabId="7" name="PivotTable3"/>
    <pivotTable tabId="7" name="PivotTable4"/>
    <pivotTable tabId="7" name="PivotTable5"/>
  </pivotTables>
  <data>
    <olap pivotCacheId="1844831155">
      <levels count="2">
        <level uniqueName="[Range].[status].[(All)]" sourceCaption="(All)" count="0"/>
        <level uniqueName="[Range].[status].[status]" sourceCaption="status" count="3">
          <ranges>
            <range startItem="0">
              <i n="[Range].[status].&amp;" c="(blank)"/>
              <i n="[Range].[status].&amp;[ACTIVE]" c="ACTIVE"/>
              <i n="[Range].[status].&amp;[NOT-ACTIVE]" c="NOT-ACTIVE"/>
            </range>
          </ranges>
        </level>
      </levels>
      <selections count="1">
        <selection n="[Range].[status].&amp;[NOT-ACTIV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xr10:uid="{A3952BDC-A1D5-4076-A416-7626AE629F61}" cache="Slicer_primary_skill" caption="primary_skill" level="1" rowHeight="241300"/>
  <slicer name="status" xr10:uid="{2815CDCD-A3F7-4ACE-AE08-8435C2E78B3A}" cache="Slicer_status" caption="status"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1A3961-E0E3-4474-93B8-D76F28F78814}">
  <we:reference id="wa104379279" version="2.1.0.0" store="en-US" storeType="OMEX"/>
  <we:alternateReferences>
    <we:reference id="wa104379279" version="2.1.0.0" store="wa10437927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C2E57-200C-40AA-BF8C-9121B159D92A}">
  <dimension ref="A3:Q26"/>
  <sheetViews>
    <sheetView workbookViewId="0"/>
  </sheetViews>
  <sheetFormatPr defaultRowHeight="14.5" x14ac:dyDescent="0.35"/>
  <cols>
    <col min="1" max="1" width="21.6328125" bestFit="1" customWidth="1"/>
    <col min="2" max="2" width="17.6328125" style="14" bestFit="1" customWidth="1"/>
    <col min="3" max="3" width="12.36328125" bestFit="1" customWidth="1"/>
    <col min="5" max="5" width="13.26953125" bestFit="1" customWidth="1"/>
    <col min="6" max="6" width="20.54296875" style="4" bestFit="1" customWidth="1"/>
    <col min="8" max="8" width="13.26953125" bestFit="1" customWidth="1"/>
    <col min="9" max="9" width="20.54296875" style="9" bestFit="1" customWidth="1"/>
    <col min="12" max="12" width="13.26953125" bestFit="1" customWidth="1"/>
    <col min="13" max="13" width="20.54296875" style="8" bestFit="1" customWidth="1"/>
    <col min="16" max="16" width="14.36328125" bestFit="1" customWidth="1"/>
    <col min="17" max="17" width="20.54296875" bestFit="1" customWidth="1"/>
  </cols>
  <sheetData>
    <row r="3" spans="1:17" x14ac:dyDescent="0.35">
      <c r="A3" s="5" t="s">
        <v>1068</v>
      </c>
      <c r="B3" s="14" t="s">
        <v>1079</v>
      </c>
    </row>
    <row r="4" spans="1:17" x14ac:dyDescent="0.35">
      <c r="A4" s="6" t="s">
        <v>23</v>
      </c>
      <c r="B4" s="14">
        <v>2.8972222222222221</v>
      </c>
      <c r="E4" s="5" t="s">
        <v>1068</v>
      </c>
      <c r="F4" s="4" t="s">
        <v>1071</v>
      </c>
      <c r="H4" s="5" t="s">
        <v>1068</v>
      </c>
      <c r="I4" s="10" t="s">
        <v>1071</v>
      </c>
      <c r="L4" s="5" t="s">
        <v>1068</v>
      </c>
      <c r="M4" t="s">
        <v>1071</v>
      </c>
      <c r="P4" s="5" t="s">
        <v>1068</v>
      </c>
      <c r="Q4" t="s">
        <v>1071</v>
      </c>
    </row>
    <row r="5" spans="1:17" x14ac:dyDescent="0.35">
      <c r="A5" s="6" t="s">
        <v>62</v>
      </c>
      <c r="B5" s="14">
        <v>2.7800000000000007</v>
      </c>
      <c r="E5" s="6" t="s">
        <v>1073</v>
      </c>
      <c r="F5" s="4">
        <v>0.40215053763440861</v>
      </c>
      <c r="H5" s="6">
        <v>40</v>
      </c>
      <c r="I5" s="10">
        <v>73</v>
      </c>
      <c r="L5" s="6" t="s">
        <v>11</v>
      </c>
      <c r="M5" s="7">
        <v>108</v>
      </c>
      <c r="P5" s="6" t="s">
        <v>30</v>
      </c>
      <c r="Q5" s="7">
        <v>30</v>
      </c>
    </row>
    <row r="6" spans="1:17" x14ac:dyDescent="0.35">
      <c r="A6" s="6" t="s">
        <v>39</v>
      </c>
      <c r="B6" s="14">
        <v>2.5857142857142859</v>
      </c>
      <c r="E6" s="6" t="s">
        <v>1078</v>
      </c>
      <c r="F6" s="4">
        <v>0.17634408602150536</v>
      </c>
      <c r="H6" s="6">
        <v>100</v>
      </c>
      <c r="I6" s="10">
        <v>68</v>
      </c>
      <c r="L6" s="6" t="s">
        <v>38</v>
      </c>
      <c r="M6" s="7">
        <v>74</v>
      </c>
      <c r="P6" s="6" t="s">
        <v>14</v>
      </c>
      <c r="Q6" s="7">
        <v>28</v>
      </c>
    </row>
    <row r="7" spans="1:17" x14ac:dyDescent="0.35">
      <c r="A7" s="6" t="s">
        <v>16</v>
      </c>
      <c r="B7" s="14">
        <v>2.5710526315789477</v>
      </c>
      <c r="E7" s="6" t="s">
        <v>1074</v>
      </c>
      <c r="F7" s="4">
        <v>0.16559139784946236</v>
      </c>
      <c r="H7" s="6">
        <v>50</v>
      </c>
      <c r="I7" s="10">
        <v>67</v>
      </c>
      <c r="L7" s="6" t="s">
        <v>15</v>
      </c>
      <c r="M7" s="7">
        <v>28</v>
      </c>
      <c r="P7" s="6" t="s">
        <v>35</v>
      </c>
      <c r="Q7" s="7">
        <v>28</v>
      </c>
    </row>
    <row r="8" spans="1:17" x14ac:dyDescent="0.35">
      <c r="A8" s="6" t="s">
        <v>48</v>
      </c>
      <c r="B8" s="14">
        <v>2.53125</v>
      </c>
      <c r="E8" s="6" t="s">
        <v>1075</v>
      </c>
      <c r="F8" s="4">
        <v>9.0322580645161285E-2</v>
      </c>
      <c r="H8" s="6">
        <v>30</v>
      </c>
      <c r="I8" s="10">
        <v>65</v>
      </c>
      <c r="L8" s="6" t="s">
        <v>61</v>
      </c>
      <c r="M8" s="7">
        <v>26</v>
      </c>
      <c r="P8" s="6" t="s">
        <v>70</v>
      </c>
      <c r="Q8" s="7">
        <v>27</v>
      </c>
    </row>
    <row r="9" spans="1:17" x14ac:dyDescent="0.35">
      <c r="A9" s="6" t="s">
        <v>41</v>
      </c>
      <c r="B9" s="14">
        <v>2.424390243902439</v>
      </c>
      <c r="E9" s="6" t="s">
        <v>1072</v>
      </c>
      <c r="F9" s="4">
        <v>8.8172043010752682E-2</v>
      </c>
      <c r="H9" s="6">
        <v>20</v>
      </c>
      <c r="I9" s="10">
        <v>64</v>
      </c>
      <c r="L9" s="6" t="s">
        <v>7</v>
      </c>
      <c r="M9" s="7">
        <v>24</v>
      </c>
      <c r="P9" s="6" t="s">
        <v>99</v>
      </c>
      <c r="Q9" s="7">
        <v>26</v>
      </c>
    </row>
    <row r="10" spans="1:17" x14ac:dyDescent="0.35">
      <c r="A10" s="6" t="s">
        <v>27</v>
      </c>
      <c r="B10" s="14">
        <v>2.402173913043478</v>
      </c>
      <c r="E10" s="6" t="s">
        <v>1077</v>
      </c>
      <c r="F10" s="4">
        <v>4.5161290322580643E-2</v>
      </c>
      <c r="H10" s="6">
        <v>75</v>
      </c>
      <c r="I10" s="10">
        <v>60</v>
      </c>
      <c r="L10" s="6" t="s">
        <v>26</v>
      </c>
      <c r="M10" s="7">
        <v>24</v>
      </c>
      <c r="P10" s="6" t="s">
        <v>60</v>
      </c>
      <c r="Q10" s="7">
        <v>26</v>
      </c>
    </row>
    <row r="11" spans="1:17" x14ac:dyDescent="0.35">
      <c r="A11" s="6" t="s">
        <v>8</v>
      </c>
      <c r="B11" s="14">
        <v>2.3891891891891888</v>
      </c>
      <c r="E11" s="6" t="s">
        <v>1076</v>
      </c>
      <c r="F11" s="4">
        <v>3.2258064516129031E-2</v>
      </c>
      <c r="H11" s="6">
        <v>0</v>
      </c>
      <c r="I11" s="10">
        <v>40</v>
      </c>
      <c r="L11" s="6" t="s">
        <v>75</v>
      </c>
      <c r="M11" s="7">
        <v>23</v>
      </c>
      <c r="P11" s="6" t="s">
        <v>37</v>
      </c>
      <c r="Q11" s="7">
        <v>25</v>
      </c>
    </row>
    <row r="12" spans="1:17" x14ac:dyDescent="0.35">
      <c r="A12" s="6" t="s">
        <v>18</v>
      </c>
      <c r="B12" s="14">
        <v>2.1465116279069765</v>
      </c>
      <c r="E12" s="6" t="s">
        <v>1070</v>
      </c>
      <c r="F12" s="4">
        <v>1</v>
      </c>
      <c r="H12" s="6" t="s">
        <v>1069</v>
      </c>
      <c r="I12" s="10">
        <v>28</v>
      </c>
      <c r="L12" s="6" t="s">
        <v>97</v>
      </c>
      <c r="M12" s="7">
        <v>22</v>
      </c>
      <c r="P12" s="6" t="s">
        <v>25</v>
      </c>
      <c r="Q12" s="7">
        <v>24</v>
      </c>
    </row>
    <row r="13" spans="1:17" x14ac:dyDescent="0.35">
      <c r="A13" s="6" t="s">
        <v>12</v>
      </c>
      <c r="B13" s="14">
        <v>2.0421052631578944</v>
      </c>
      <c r="H13" s="6" t="s">
        <v>1070</v>
      </c>
      <c r="I13" s="10">
        <v>465</v>
      </c>
      <c r="L13" s="6" t="s">
        <v>33</v>
      </c>
      <c r="M13" s="7">
        <v>21</v>
      </c>
      <c r="P13" s="6" t="s">
        <v>6</v>
      </c>
      <c r="Q13" s="7">
        <v>24</v>
      </c>
    </row>
    <row r="14" spans="1:17" x14ac:dyDescent="0.35">
      <c r="A14" s="6" t="s">
        <v>1070</v>
      </c>
      <c r="B14" s="14">
        <v>2.4694915254237286</v>
      </c>
      <c r="L14" s="6" t="s">
        <v>22</v>
      </c>
      <c r="M14" s="7">
        <v>20</v>
      </c>
      <c r="P14" s="6" t="s">
        <v>74</v>
      </c>
      <c r="Q14" s="7">
        <v>23</v>
      </c>
    </row>
    <row r="15" spans="1:17" x14ac:dyDescent="0.35">
      <c r="L15" s="6" t="s">
        <v>78</v>
      </c>
      <c r="M15" s="7">
        <v>17</v>
      </c>
      <c r="P15" s="6" t="s">
        <v>105</v>
      </c>
      <c r="Q15" s="7">
        <v>23</v>
      </c>
    </row>
    <row r="16" spans="1:17" x14ac:dyDescent="0.35">
      <c r="L16" s="6" t="s">
        <v>46</v>
      </c>
      <c r="M16" s="7">
        <v>17</v>
      </c>
      <c r="P16" s="6" t="s">
        <v>10</v>
      </c>
      <c r="Q16" s="7">
        <v>23</v>
      </c>
    </row>
    <row r="17" spans="12:17" x14ac:dyDescent="0.35">
      <c r="L17" s="6" t="s">
        <v>51</v>
      </c>
      <c r="M17" s="7">
        <v>17</v>
      </c>
      <c r="P17" s="6" t="s">
        <v>96</v>
      </c>
      <c r="Q17" s="7">
        <v>22</v>
      </c>
    </row>
    <row r="18" spans="12:17" x14ac:dyDescent="0.35">
      <c r="L18" s="6" t="s">
        <v>86</v>
      </c>
      <c r="M18" s="7">
        <v>17</v>
      </c>
      <c r="P18" s="6" t="s">
        <v>32</v>
      </c>
      <c r="Q18" s="7">
        <v>21</v>
      </c>
    </row>
    <row r="19" spans="12:17" x14ac:dyDescent="0.35">
      <c r="L19" s="6" t="s">
        <v>68</v>
      </c>
      <c r="M19" s="7">
        <v>15</v>
      </c>
      <c r="P19" s="6" t="s">
        <v>21</v>
      </c>
      <c r="Q19" s="7">
        <v>20</v>
      </c>
    </row>
    <row r="20" spans="12:17" x14ac:dyDescent="0.35">
      <c r="L20" s="6" t="s">
        <v>58</v>
      </c>
      <c r="M20" s="7">
        <v>12</v>
      </c>
      <c r="P20" s="6" t="s">
        <v>45</v>
      </c>
      <c r="Q20" s="7">
        <v>17</v>
      </c>
    </row>
    <row r="21" spans="12:17" x14ac:dyDescent="0.35">
      <c r="L21" s="6" t="s">
        <v>1070</v>
      </c>
      <c r="M21" s="7">
        <v>465</v>
      </c>
      <c r="P21" s="6" t="s">
        <v>50</v>
      </c>
      <c r="Q21" s="7">
        <v>17</v>
      </c>
    </row>
    <row r="22" spans="12:17" x14ac:dyDescent="0.35">
      <c r="M22"/>
      <c r="P22" s="6" t="s">
        <v>85</v>
      </c>
      <c r="Q22" s="7">
        <v>17</v>
      </c>
    </row>
    <row r="23" spans="12:17" x14ac:dyDescent="0.35">
      <c r="M23"/>
      <c r="P23" s="6" t="s">
        <v>77</v>
      </c>
      <c r="Q23" s="7">
        <v>17</v>
      </c>
    </row>
    <row r="24" spans="12:17" x14ac:dyDescent="0.35">
      <c r="M24"/>
      <c r="P24" s="6" t="s">
        <v>67</v>
      </c>
      <c r="Q24" s="7">
        <v>15</v>
      </c>
    </row>
    <row r="25" spans="12:17" x14ac:dyDescent="0.35">
      <c r="M25"/>
      <c r="P25" s="6" t="s">
        <v>57</v>
      </c>
      <c r="Q25" s="7">
        <v>12</v>
      </c>
    </row>
    <row r="26" spans="12:17" x14ac:dyDescent="0.35">
      <c r="M26"/>
      <c r="P26" s="6" t="s">
        <v>1070</v>
      </c>
      <c r="Q26" s="7">
        <v>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95FA8-884D-4395-8643-FB4780F11D0B}">
  <sheetPr>
    <tabColor theme="8" tint="-0.499984740745262"/>
  </sheetPr>
  <dimension ref="A1"/>
  <sheetViews>
    <sheetView tabSelected="1" workbookViewId="0"/>
  </sheetViews>
  <sheetFormatPr defaultRowHeight="14.5" x14ac:dyDescent="0.35"/>
  <cols>
    <col min="1"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001"/>
  <sheetViews>
    <sheetView workbookViewId="0"/>
  </sheetViews>
  <sheetFormatPr defaultRowHeight="14.5" x14ac:dyDescent="0.35"/>
  <cols>
    <col min="1" max="1" width="13.1796875" bestFit="1" customWidth="1"/>
    <col min="2" max="2" width="21.1796875" bestFit="1" customWidth="1"/>
    <col min="3" max="3" width="7.453125" bestFit="1" customWidth="1"/>
    <col min="4" max="4" width="5.7265625" bestFit="1" customWidth="1"/>
    <col min="5" max="5" width="16.90625" hidden="1" customWidth="1"/>
    <col min="6" max="6" width="16.90625" customWidth="1"/>
    <col min="7" max="7" width="10.1796875" bestFit="1" customWidth="1"/>
    <col min="8" max="8" width="21.54296875" bestFit="1" customWidth="1"/>
    <col min="9" max="9" width="21.08984375" style="1" bestFit="1" customWidth="1"/>
    <col min="10" max="10" width="12.6328125" style="1" bestFit="1" customWidth="1"/>
    <col min="11" max="11" width="23.81640625" style="1" customWidth="1"/>
    <col min="12" max="12" width="15.36328125" style="1" hidden="1" customWidth="1"/>
    <col min="13" max="13" width="15.26953125" style="1" hidden="1" customWidth="1"/>
    <col min="14" max="14" width="15.26953125" style="1" customWidth="1"/>
    <col min="15" max="15" width="11" customWidth="1"/>
  </cols>
  <sheetData>
    <row r="1" spans="1:16" s="12" customFormat="1" ht="13" x14ac:dyDescent="0.3">
      <c r="A1" s="12" t="s">
        <v>0</v>
      </c>
      <c r="B1" s="12" t="s">
        <v>1052</v>
      </c>
      <c r="C1" s="12" t="s">
        <v>1060</v>
      </c>
      <c r="D1" s="12" t="s">
        <v>1</v>
      </c>
      <c r="E1" s="12" t="s">
        <v>1081</v>
      </c>
      <c r="F1" s="12" t="s">
        <v>1081</v>
      </c>
      <c r="G1" s="12" t="s">
        <v>2</v>
      </c>
      <c r="H1" s="12" t="s">
        <v>3</v>
      </c>
      <c r="I1" s="13" t="s">
        <v>4</v>
      </c>
      <c r="J1" s="13" t="s">
        <v>1057</v>
      </c>
      <c r="K1" s="13" t="s">
        <v>1055</v>
      </c>
      <c r="L1" s="13" t="s">
        <v>1061</v>
      </c>
      <c r="M1" s="13" t="s">
        <v>1059</v>
      </c>
      <c r="N1" s="13" t="s">
        <v>1080</v>
      </c>
      <c r="O1" s="12" t="s">
        <v>1058</v>
      </c>
      <c r="P1" s="12" t="s">
        <v>1056</v>
      </c>
    </row>
    <row r="2" spans="1:16" x14ac:dyDescent="0.35">
      <c r="A2" t="s">
        <v>5</v>
      </c>
      <c r="B2" t="str">
        <f>TRIM([1]Sheet1!AD2)</f>
        <v>Nicole Kidd</v>
      </c>
      <c r="C2" t="str">
        <f>IF(UPPER(LEFT([1]Sheet1!W2,1))="F","FEMALE","MALE")</f>
        <v>FEMALE</v>
      </c>
      <c r="D2">
        <v>52</v>
      </c>
      <c r="E2" t="s">
        <v>6</v>
      </c>
      <c r="F2" t="s">
        <v>6</v>
      </c>
      <c r="G2" t="s">
        <v>7</v>
      </c>
      <c r="H2" t="s">
        <v>8</v>
      </c>
      <c r="I2" s="1">
        <v>11</v>
      </c>
      <c r="J2" s="1" t="str">
        <f t="shared" ref="J2:J65" si="0">_xlfn.IFS(I2&lt;=5,"0-5",I2&lt;=10,"5-10",I2&lt;=16,"11-16",I2&lt;=20," 16-20",I2&lt;=25,"21- 25",I2&lt;=30,"26-30",I2&gt;30,"31+")</f>
        <v>11-16</v>
      </c>
      <c r="L2" s="1">
        <v>100</v>
      </c>
      <c r="M2" s="1">
        <f>L2</f>
        <v>100</v>
      </c>
      <c r="N2" s="1">
        <f>M2</f>
        <v>100</v>
      </c>
      <c r="O2" t="s">
        <v>1053</v>
      </c>
    </row>
    <row r="3" spans="1:16" x14ac:dyDescent="0.35">
      <c r="A3" t="s">
        <v>9</v>
      </c>
      <c r="B3" t="str">
        <f>TRIM([1]Sheet1!AD3)</f>
        <v>Vanessa Garcia</v>
      </c>
      <c r="C3" t="str">
        <f>IF(UPPER(LEFT([1]Sheet1!W3,1))="F","FEMALE","MALE")</f>
        <v>FEMALE</v>
      </c>
      <c r="D3">
        <v>52</v>
      </c>
      <c r="E3" t="s">
        <v>10</v>
      </c>
      <c r="F3" t="s">
        <v>10</v>
      </c>
      <c r="G3" t="s">
        <v>11</v>
      </c>
      <c r="H3" t="s">
        <v>12</v>
      </c>
      <c r="I3" s="1">
        <v>34</v>
      </c>
      <c r="J3" s="1" t="str">
        <f t="shared" si="0"/>
        <v>31+</v>
      </c>
      <c r="K3" s="1">
        <v>3.3</v>
      </c>
      <c r="L3" s="1" t="s">
        <v>1062</v>
      </c>
      <c r="M3" s="1" t="str">
        <f>L3</f>
        <v>USD 100</v>
      </c>
      <c r="N3" s="1">
        <v>100</v>
      </c>
      <c r="O3" t="s">
        <v>1054</v>
      </c>
      <c r="P3" s="4">
        <f>[2]Sheet1!K3</f>
        <v>0.84</v>
      </c>
    </row>
    <row r="4" spans="1:16" x14ac:dyDescent="0.35">
      <c r="A4" t="s">
        <v>13</v>
      </c>
      <c r="B4" t="str">
        <f>TRIM([1]Sheet1!AD4)</f>
        <v>Juan Nelson</v>
      </c>
      <c r="C4" t="str">
        <f>IF(UPPER(LEFT([1]Sheet1!W4,1))="F","FEMALE","MALE")</f>
        <v>MALE</v>
      </c>
      <c r="D4">
        <v>53</v>
      </c>
      <c r="E4" t="s">
        <v>14</v>
      </c>
      <c r="F4" t="s">
        <v>14</v>
      </c>
      <c r="G4" t="s">
        <v>15</v>
      </c>
      <c r="H4" t="s">
        <v>16</v>
      </c>
      <c r="I4" s="1">
        <v>31</v>
      </c>
      <c r="J4" s="1" t="str">
        <f t="shared" si="0"/>
        <v>31+</v>
      </c>
      <c r="K4" s="1">
        <v>0</v>
      </c>
      <c r="L4" s="1">
        <v>50</v>
      </c>
      <c r="M4" s="1">
        <f t="shared" ref="M4:M66" si="1">L4</f>
        <v>50</v>
      </c>
      <c r="N4" s="1">
        <f t="shared" ref="N4:N7" si="2">M4</f>
        <v>50</v>
      </c>
      <c r="O4" t="s">
        <v>1053</v>
      </c>
      <c r="P4" s="4">
        <f>[2]Sheet1!K4</f>
        <v>0.71</v>
      </c>
    </row>
    <row r="5" spans="1:16" x14ac:dyDescent="0.35">
      <c r="A5" t="s">
        <v>17</v>
      </c>
      <c r="B5" t="str">
        <f>TRIM([1]Sheet1!AD5)</f>
        <v>Amanda Spencer</v>
      </c>
      <c r="C5" t="str">
        <f>IF(UPPER(LEFT([1]Sheet1!W5,1))="F","FEMALE","MALE")</f>
        <v>FEMALE</v>
      </c>
      <c r="D5">
        <v>38</v>
      </c>
      <c r="E5" t="s">
        <v>10</v>
      </c>
      <c r="F5" t="s">
        <v>10</v>
      </c>
      <c r="G5" t="s">
        <v>11</v>
      </c>
      <c r="H5" t="s">
        <v>18</v>
      </c>
      <c r="I5" s="1">
        <v>4</v>
      </c>
      <c r="J5" s="1" t="str">
        <f t="shared" si="0"/>
        <v>0-5</v>
      </c>
      <c r="K5" s="1">
        <v>1.5</v>
      </c>
      <c r="L5" s="2">
        <v>40</v>
      </c>
      <c r="M5" s="1">
        <f t="shared" si="1"/>
        <v>40</v>
      </c>
      <c r="N5" s="1">
        <f t="shared" si="2"/>
        <v>40</v>
      </c>
      <c r="O5" t="s">
        <v>1053</v>
      </c>
      <c r="P5" s="4">
        <f>[2]Sheet1!K5</f>
        <v>0.9</v>
      </c>
    </row>
    <row r="6" spans="1:16" x14ac:dyDescent="0.35">
      <c r="A6" t="s">
        <v>19</v>
      </c>
      <c r="B6" t="str">
        <f>TRIM([1]Sheet1!AD6)</f>
        <v>Lynn Curtis DDS</v>
      </c>
      <c r="C6" t="str">
        <f>IF(UPPER(LEFT([1]Sheet1!W6,1))="F","FEMALE","MALE")</f>
        <v>FEMALE</v>
      </c>
      <c r="D6">
        <v>53</v>
      </c>
      <c r="E6" t="s">
        <v>14</v>
      </c>
      <c r="F6" t="s">
        <v>14</v>
      </c>
      <c r="G6" t="s">
        <v>15</v>
      </c>
      <c r="H6" t="s">
        <v>18</v>
      </c>
      <c r="I6" s="1">
        <v>27</v>
      </c>
      <c r="J6" s="1" t="str">
        <f t="shared" si="0"/>
        <v>26-30</v>
      </c>
      <c r="K6" s="1">
        <v>4.8</v>
      </c>
      <c r="L6" s="1">
        <v>30</v>
      </c>
      <c r="M6" s="1">
        <f t="shared" si="1"/>
        <v>30</v>
      </c>
      <c r="N6" s="1">
        <f t="shared" si="2"/>
        <v>30</v>
      </c>
      <c r="O6" t="s">
        <v>1053</v>
      </c>
      <c r="P6" s="4">
        <f>[2]Sheet1!K6</f>
        <v>0.83</v>
      </c>
    </row>
    <row r="7" spans="1:16" x14ac:dyDescent="0.35">
      <c r="A7" t="s">
        <v>20</v>
      </c>
      <c r="B7" t="str">
        <f>TRIM([1]Sheet1!AD7)</f>
        <v>Lisa Johnson</v>
      </c>
      <c r="C7" t="str">
        <f>IF(UPPER(LEFT([1]Sheet1!W7,1))="F","FEMALE","MALE")</f>
        <v>FEMALE</v>
      </c>
      <c r="D7">
        <v>59</v>
      </c>
      <c r="E7" t="s">
        <v>21</v>
      </c>
      <c r="F7" t="s">
        <v>21</v>
      </c>
      <c r="G7" t="s">
        <v>22</v>
      </c>
      <c r="H7" t="s">
        <v>23</v>
      </c>
      <c r="I7" s="1">
        <v>14</v>
      </c>
      <c r="J7" s="1" t="str">
        <f t="shared" si="0"/>
        <v>11-16</v>
      </c>
      <c r="K7" s="1">
        <v>2.4</v>
      </c>
      <c r="L7" s="2">
        <v>30</v>
      </c>
      <c r="M7" s="1">
        <f t="shared" si="1"/>
        <v>30</v>
      </c>
      <c r="N7" s="1">
        <f t="shared" si="2"/>
        <v>30</v>
      </c>
      <c r="O7" t="s">
        <v>1053</v>
      </c>
    </row>
    <row r="8" spans="1:16" x14ac:dyDescent="0.35">
      <c r="A8" t="s">
        <v>24</v>
      </c>
      <c r="B8" t="str">
        <f>TRIM([1]Sheet1!AD8)</f>
        <v>Eric Myers</v>
      </c>
      <c r="C8" t="str">
        <f>IF(UPPER(LEFT([1]Sheet1!W8,1))="F","FEMALE","MALE")</f>
        <v>MALE</v>
      </c>
      <c r="D8">
        <v>52</v>
      </c>
      <c r="E8" t="s">
        <v>25</v>
      </c>
      <c r="F8" t="s">
        <v>25</v>
      </c>
      <c r="G8" t="s">
        <v>26</v>
      </c>
      <c r="H8" t="s">
        <v>27</v>
      </c>
      <c r="I8" s="1">
        <v>10</v>
      </c>
      <c r="J8" s="1" t="str">
        <f t="shared" si="0"/>
        <v>5-10</v>
      </c>
      <c r="K8" s="1">
        <v>3.1</v>
      </c>
      <c r="L8" s="1" t="s">
        <v>1063</v>
      </c>
      <c r="M8" s="1" t="str">
        <f t="shared" si="1"/>
        <v>USD 75</v>
      </c>
      <c r="N8" s="1">
        <v>75</v>
      </c>
      <c r="O8" t="s">
        <v>1053</v>
      </c>
      <c r="P8" s="4">
        <f>[2]Sheet1!K8</f>
        <v>0.94</v>
      </c>
    </row>
    <row r="9" spans="1:16" x14ac:dyDescent="0.35">
      <c r="A9" t="s">
        <v>28</v>
      </c>
      <c r="B9" t="str">
        <f>TRIM([1]Sheet1!AD9)</f>
        <v>Ricky Graham</v>
      </c>
      <c r="C9" t="str">
        <f>IF(UPPER(LEFT([1]Sheet1!W9,1))="F","FEMALE","MALE")</f>
        <v>MALE</v>
      </c>
      <c r="D9">
        <v>43</v>
      </c>
      <c r="E9" t="s">
        <v>6</v>
      </c>
      <c r="F9" t="s">
        <v>6</v>
      </c>
      <c r="G9" t="s">
        <v>7</v>
      </c>
      <c r="H9" t="s">
        <v>8</v>
      </c>
      <c r="I9" s="1">
        <v>14</v>
      </c>
      <c r="J9" s="1" t="str">
        <f t="shared" si="0"/>
        <v>11-16</v>
      </c>
      <c r="K9" s="1">
        <v>4.5999999999999996</v>
      </c>
      <c r="L9" s="1" t="s">
        <v>1064</v>
      </c>
      <c r="M9" s="1" t="str">
        <f t="shared" si="1"/>
        <v>USD 40</v>
      </c>
      <c r="N9" s="1">
        <v>40</v>
      </c>
      <c r="O9" t="s">
        <v>1053</v>
      </c>
      <c r="P9" s="4">
        <f>[2]Sheet1!K9</f>
        <v>0.94</v>
      </c>
    </row>
    <row r="10" spans="1:16" x14ac:dyDescent="0.35">
      <c r="A10" t="s">
        <v>29</v>
      </c>
      <c r="B10" t="str">
        <f>TRIM([1]Sheet1!AD10)</f>
        <v>Sean Martin</v>
      </c>
      <c r="C10" t="str">
        <f>IF(UPPER(LEFT([1]Sheet1!W10,1))="F","FEMALE","MALE")</f>
        <v>MALE</v>
      </c>
      <c r="D10">
        <v>26</v>
      </c>
      <c r="E10" t="s">
        <v>30</v>
      </c>
      <c r="F10" t="s">
        <v>30</v>
      </c>
      <c r="G10" t="s">
        <v>11</v>
      </c>
      <c r="H10" t="s">
        <v>8</v>
      </c>
      <c r="I10" s="1">
        <v>4</v>
      </c>
      <c r="J10" s="1" t="str">
        <f t="shared" si="0"/>
        <v>0-5</v>
      </c>
      <c r="K10" s="1">
        <v>4</v>
      </c>
      <c r="M10" s="1">
        <f t="shared" si="1"/>
        <v>0</v>
      </c>
      <c r="N10" s="1">
        <f t="shared" ref="N10:N14" si="3">M10</f>
        <v>0</v>
      </c>
      <c r="O10" t="s">
        <v>1054</v>
      </c>
      <c r="P10" s="4">
        <f>[2]Sheet1!K10</f>
        <v>0.76</v>
      </c>
    </row>
    <row r="11" spans="1:16" x14ac:dyDescent="0.35">
      <c r="A11" t="s">
        <v>31</v>
      </c>
      <c r="B11" t="str">
        <f>TRIM([1]Sheet1!AD11)</f>
        <v>Matthew Lloyd</v>
      </c>
      <c r="C11" t="str">
        <f>IF(UPPER(LEFT([1]Sheet1!W11,1))="F","FEMALE","MALE")</f>
        <v>MALE</v>
      </c>
      <c r="D11">
        <v>52</v>
      </c>
      <c r="E11" t="s">
        <v>32</v>
      </c>
      <c r="F11" t="s">
        <v>32</v>
      </c>
      <c r="G11" t="s">
        <v>33</v>
      </c>
      <c r="H11" t="s">
        <v>23</v>
      </c>
      <c r="I11" s="1">
        <v>22</v>
      </c>
      <c r="J11" s="1" t="str">
        <f t="shared" si="0"/>
        <v>21- 25</v>
      </c>
      <c r="L11" s="2">
        <v>50</v>
      </c>
      <c r="M11" s="1">
        <f t="shared" si="1"/>
        <v>50</v>
      </c>
      <c r="N11" s="1">
        <f t="shared" si="3"/>
        <v>50</v>
      </c>
      <c r="O11" t="s">
        <v>1054</v>
      </c>
    </row>
    <row r="12" spans="1:16" x14ac:dyDescent="0.35">
      <c r="A12" t="s">
        <v>34</v>
      </c>
      <c r="B12" t="str">
        <f>TRIM([1]Sheet1!AD12)</f>
        <v>Gavin Randall</v>
      </c>
      <c r="C12" t="str">
        <f>IF(UPPER(LEFT([1]Sheet1!W12,1))="F","FEMALE","MALE")</f>
        <v>MALE</v>
      </c>
      <c r="D12">
        <v>40</v>
      </c>
      <c r="E12" t="s">
        <v>35</v>
      </c>
      <c r="F12" t="s">
        <v>35</v>
      </c>
      <c r="G12" t="s">
        <v>11</v>
      </c>
      <c r="H12" t="s">
        <v>27</v>
      </c>
      <c r="I12" s="1">
        <v>17</v>
      </c>
      <c r="J12" s="1" t="str">
        <f t="shared" si="0"/>
        <v xml:space="preserve"> 16-20</v>
      </c>
      <c r="K12" s="1">
        <v>3.6</v>
      </c>
      <c r="L12" s="1">
        <v>40</v>
      </c>
      <c r="M12" s="1">
        <f t="shared" si="1"/>
        <v>40</v>
      </c>
      <c r="N12" s="1">
        <f t="shared" si="3"/>
        <v>40</v>
      </c>
      <c r="O12" t="s">
        <v>1054</v>
      </c>
      <c r="P12" s="4">
        <f>[2]Sheet1!K12</f>
        <v>0.77</v>
      </c>
    </row>
    <row r="13" spans="1:16" x14ac:dyDescent="0.35">
      <c r="A13" t="s">
        <v>36</v>
      </c>
      <c r="B13" t="str">
        <f>TRIM([1]Sheet1!AD13)</f>
        <v>Michelle Curtis</v>
      </c>
      <c r="C13" t="str">
        <f>IF(UPPER(LEFT([1]Sheet1!W13,1))="F","FEMALE","MALE")</f>
        <v>FEMALE</v>
      </c>
      <c r="D13">
        <v>55</v>
      </c>
      <c r="E13" t="s">
        <v>37</v>
      </c>
      <c r="F13" t="s">
        <v>37</v>
      </c>
      <c r="G13" t="s">
        <v>38</v>
      </c>
      <c r="H13" t="s">
        <v>39</v>
      </c>
      <c r="I13" s="1">
        <v>15</v>
      </c>
      <c r="J13" s="1" t="str">
        <f t="shared" si="0"/>
        <v>11-16</v>
      </c>
      <c r="M13" s="1">
        <f t="shared" si="1"/>
        <v>0</v>
      </c>
      <c r="N13" s="1">
        <f t="shared" si="3"/>
        <v>0</v>
      </c>
      <c r="O13" t="s">
        <v>1054</v>
      </c>
      <c r="P13" s="4">
        <f>[2]Sheet1!K13</f>
        <v>0.86</v>
      </c>
    </row>
    <row r="14" spans="1:16" x14ac:dyDescent="0.35">
      <c r="A14" t="s">
        <v>40</v>
      </c>
      <c r="B14" t="str">
        <f>TRIM([1]Sheet1!AD14)</f>
        <v>Alice Schneider</v>
      </c>
      <c r="C14" t="str">
        <f>IF(UPPER(LEFT([1]Sheet1!W14,1))="F","FEMALE","MALE")</f>
        <v>FEMALE</v>
      </c>
      <c r="D14">
        <v>57</v>
      </c>
      <c r="E14" t="s">
        <v>35</v>
      </c>
      <c r="F14" t="s">
        <v>35</v>
      </c>
      <c r="G14" t="s">
        <v>11</v>
      </c>
      <c r="H14" t="s">
        <v>41</v>
      </c>
      <c r="I14" s="1">
        <v>18</v>
      </c>
      <c r="J14" s="1" t="str">
        <f t="shared" si="0"/>
        <v xml:space="preserve"> 16-20</v>
      </c>
      <c r="K14" s="1">
        <v>2</v>
      </c>
      <c r="M14" s="1">
        <f t="shared" si="1"/>
        <v>0</v>
      </c>
      <c r="N14" s="1">
        <f t="shared" si="3"/>
        <v>0</v>
      </c>
      <c r="O14" t="s">
        <v>1053</v>
      </c>
      <c r="P14" s="4">
        <f>[2]Sheet1!K14</f>
        <v>0.86</v>
      </c>
    </row>
    <row r="15" spans="1:16" x14ac:dyDescent="0.35">
      <c r="A15" t="s">
        <v>42</v>
      </c>
      <c r="B15" t="str">
        <f>TRIM([1]Sheet1!AD15)</f>
        <v>Phillip Shelton</v>
      </c>
      <c r="C15" t="str">
        <f>IF(UPPER(LEFT([1]Sheet1!W15,1))="F","FEMALE","MALE")</f>
        <v>MALE</v>
      </c>
      <c r="D15">
        <v>38</v>
      </c>
      <c r="E15" t="s">
        <v>37</v>
      </c>
      <c r="F15" t="s">
        <v>37</v>
      </c>
      <c r="G15" t="s">
        <v>38</v>
      </c>
      <c r="H15" t="s">
        <v>16</v>
      </c>
      <c r="I15" s="1">
        <v>20</v>
      </c>
      <c r="J15" s="1" t="str">
        <f t="shared" si="0"/>
        <v xml:space="preserve"> 16-20</v>
      </c>
      <c r="K15" s="1">
        <v>2.9</v>
      </c>
      <c r="L15" s="1" t="s">
        <v>1063</v>
      </c>
      <c r="M15" s="1" t="str">
        <f t="shared" si="1"/>
        <v>USD 75</v>
      </c>
      <c r="N15" s="1">
        <v>75</v>
      </c>
      <c r="O15" t="s">
        <v>1054</v>
      </c>
      <c r="P15" s="4">
        <f>[2]Sheet1!K15</f>
        <v>0.93</v>
      </c>
    </row>
    <row r="16" spans="1:16" x14ac:dyDescent="0.35">
      <c r="A16" t="s">
        <v>43</v>
      </c>
      <c r="B16" t="str">
        <f>TRIM([1]Sheet1!AD16)</f>
        <v>Edward Ferguson</v>
      </c>
      <c r="C16" t="str">
        <f>IF(UPPER(LEFT([1]Sheet1!W16,1))="F","FEMALE","MALE")</f>
        <v>MALE</v>
      </c>
      <c r="D16">
        <v>50</v>
      </c>
      <c r="E16" t="s">
        <v>14</v>
      </c>
      <c r="F16" t="s">
        <v>14</v>
      </c>
      <c r="G16" t="s">
        <v>15</v>
      </c>
      <c r="H16" t="s">
        <v>27</v>
      </c>
      <c r="I16" s="1">
        <v>22</v>
      </c>
      <c r="J16" s="1" t="str">
        <f t="shared" si="0"/>
        <v>21- 25</v>
      </c>
      <c r="K16" s="1">
        <v>3.7</v>
      </c>
      <c r="L16" s="1">
        <v>75</v>
      </c>
      <c r="M16" s="1">
        <f t="shared" si="1"/>
        <v>75</v>
      </c>
      <c r="N16" s="1">
        <f t="shared" ref="N16:N19" si="4">M16</f>
        <v>75</v>
      </c>
      <c r="O16" t="s">
        <v>1054</v>
      </c>
      <c r="P16" s="4">
        <f>[2]Sheet1!K16</f>
        <v>0.7</v>
      </c>
    </row>
    <row r="17" spans="1:16" x14ac:dyDescent="0.35">
      <c r="A17" t="s">
        <v>44</v>
      </c>
      <c r="B17" t="str">
        <f>TRIM([1]Sheet1!AD17)</f>
        <v>Wyatt Stout</v>
      </c>
      <c r="C17" t="str">
        <f>IF(UPPER(LEFT([1]Sheet1!W17,1))="F","FEMALE","MALE")</f>
        <v>MALE</v>
      </c>
      <c r="D17">
        <v>42</v>
      </c>
      <c r="E17" t="s">
        <v>45</v>
      </c>
      <c r="F17" t="s">
        <v>45</v>
      </c>
      <c r="G17" t="s">
        <v>46</v>
      </c>
      <c r="H17" t="s">
        <v>27</v>
      </c>
      <c r="I17" s="1">
        <v>0</v>
      </c>
      <c r="J17" s="1" t="str">
        <f t="shared" si="0"/>
        <v>0-5</v>
      </c>
      <c r="K17" s="1">
        <v>1.2</v>
      </c>
      <c r="L17" s="2">
        <v>30</v>
      </c>
      <c r="M17" s="1">
        <f t="shared" si="1"/>
        <v>30</v>
      </c>
      <c r="N17" s="1">
        <f t="shared" si="4"/>
        <v>30</v>
      </c>
      <c r="O17" t="s">
        <v>1053</v>
      </c>
      <c r="P17" s="4">
        <f>[2]Sheet1!K17</f>
        <v>0.69</v>
      </c>
    </row>
    <row r="18" spans="1:16" x14ac:dyDescent="0.35">
      <c r="A18" t="s">
        <v>47</v>
      </c>
      <c r="B18" t="str">
        <f>TRIM([1]Sheet1!AD18)</f>
        <v>Laura Johnson</v>
      </c>
      <c r="C18" t="str">
        <f>IF(UPPER(LEFT([1]Sheet1!W18,1))="F","FEMALE","MALE")</f>
        <v>FEMALE</v>
      </c>
      <c r="D18">
        <v>39</v>
      </c>
      <c r="E18" t="s">
        <v>10</v>
      </c>
      <c r="F18" t="s">
        <v>10</v>
      </c>
      <c r="G18" t="s">
        <v>11</v>
      </c>
      <c r="H18" t="s">
        <v>48</v>
      </c>
      <c r="I18" s="1">
        <v>13</v>
      </c>
      <c r="J18" s="1" t="str">
        <f t="shared" si="0"/>
        <v>11-16</v>
      </c>
      <c r="K18" s="1">
        <v>2.5</v>
      </c>
      <c r="L18" s="2">
        <v>30</v>
      </c>
      <c r="M18" s="1">
        <f t="shared" si="1"/>
        <v>30</v>
      </c>
      <c r="N18" s="1">
        <f t="shared" si="4"/>
        <v>30</v>
      </c>
      <c r="O18" t="s">
        <v>1053</v>
      </c>
      <c r="P18" s="4">
        <f>[2]Sheet1!K18</f>
        <v>0.6</v>
      </c>
    </row>
    <row r="19" spans="1:16" x14ac:dyDescent="0.35">
      <c r="A19" t="s">
        <v>49</v>
      </c>
      <c r="B19" t="str">
        <f>TRIM([1]Sheet1!AD19)</f>
        <v>Scott Burns</v>
      </c>
      <c r="C19" t="str">
        <f>IF(UPPER(LEFT([1]Sheet1!W19,1))="F","FEMALE","MALE")</f>
        <v>MALE</v>
      </c>
      <c r="D19">
        <v>56</v>
      </c>
      <c r="E19" t="s">
        <v>50</v>
      </c>
      <c r="F19" t="s">
        <v>50</v>
      </c>
      <c r="G19" t="s">
        <v>51</v>
      </c>
      <c r="H19" t="s">
        <v>8</v>
      </c>
      <c r="J19" s="1" t="str">
        <f t="shared" si="0"/>
        <v>0-5</v>
      </c>
      <c r="M19" s="1">
        <f t="shared" si="1"/>
        <v>0</v>
      </c>
      <c r="N19" s="1">
        <f t="shared" si="4"/>
        <v>0</v>
      </c>
      <c r="P19" s="4">
        <f>[2]Sheet1!K19</f>
        <v>0.87</v>
      </c>
    </row>
    <row r="20" spans="1:16" x14ac:dyDescent="0.35">
      <c r="A20" t="s">
        <v>52</v>
      </c>
      <c r="B20" t="str">
        <f>TRIM([1]Sheet1!AD20)</f>
        <v>Tyler Aguirre</v>
      </c>
      <c r="C20" t="str">
        <f>IF(UPPER(LEFT([1]Sheet1!W20,1))="F","FEMALE","MALE")</f>
        <v>MALE</v>
      </c>
      <c r="D20">
        <v>56</v>
      </c>
      <c r="E20" t="s">
        <v>30</v>
      </c>
      <c r="F20" t="s">
        <v>30</v>
      </c>
      <c r="G20" t="s">
        <v>11</v>
      </c>
      <c r="H20" t="s">
        <v>39</v>
      </c>
      <c r="I20" s="1">
        <v>31</v>
      </c>
      <c r="J20" s="1" t="str">
        <f t="shared" si="0"/>
        <v>31+</v>
      </c>
      <c r="K20" s="1">
        <v>1.1000000000000001</v>
      </c>
      <c r="L20" s="1" t="s">
        <v>1065</v>
      </c>
      <c r="M20" s="1" t="str">
        <f t="shared" si="1"/>
        <v>USD 50</v>
      </c>
      <c r="N20" s="1">
        <v>50</v>
      </c>
      <c r="O20" t="s">
        <v>1053</v>
      </c>
      <c r="P20" s="4">
        <f>[2]Sheet1!K20</f>
        <v>0.75</v>
      </c>
    </row>
    <row r="21" spans="1:16" x14ac:dyDescent="0.35">
      <c r="A21" t="s">
        <v>53</v>
      </c>
      <c r="B21" t="str">
        <f>TRIM([1]Sheet1!AD21)</f>
        <v>Matthew Lawson</v>
      </c>
      <c r="C21" t="str">
        <f>IF(UPPER(LEFT([1]Sheet1!W21,1))="F","FEMALE","MALE")</f>
        <v>MALE</v>
      </c>
      <c r="D21">
        <v>57</v>
      </c>
      <c r="E21" t="s">
        <v>6</v>
      </c>
      <c r="F21" t="s">
        <v>6</v>
      </c>
      <c r="G21" t="s">
        <v>7</v>
      </c>
      <c r="H21" t="s">
        <v>18</v>
      </c>
      <c r="I21" s="1">
        <v>3</v>
      </c>
      <c r="J21" s="1" t="str">
        <f t="shared" si="0"/>
        <v>0-5</v>
      </c>
      <c r="K21" s="1">
        <v>1.8</v>
      </c>
      <c r="L21" s="1" t="s">
        <v>1062</v>
      </c>
      <c r="M21" s="1" t="str">
        <f t="shared" si="1"/>
        <v>USD 100</v>
      </c>
      <c r="N21" s="1">
        <v>100</v>
      </c>
      <c r="O21" t="s">
        <v>1054</v>
      </c>
      <c r="P21" s="4">
        <f>[2]Sheet1!K21</f>
        <v>0.68</v>
      </c>
    </row>
    <row r="22" spans="1:16" x14ac:dyDescent="0.35">
      <c r="A22" t="s">
        <v>54</v>
      </c>
      <c r="B22" t="str">
        <f>TRIM([1]Sheet1!AD22)</f>
        <v>James Cherry</v>
      </c>
      <c r="C22" t="str">
        <f>IF(UPPER(LEFT([1]Sheet1!W22,1))="F","FEMALE","MALE")</f>
        <v>MALE</v>
      </c>
      <c r="E22" t="s">
        <v>25</v>
      </c>
      <c r="F22" t="s">
        <v>25</v>
      </c>
      <c r="G22" t="s">
        <v>26</v>
      </c>
      <c r="H22" t="s">
        <v>23</v>
      </c>
      <c r="I22" s="1">
        <v>9</v>
      </c>
      <c r="J22" s="1" t="str">
        <f t="shared" si="0"/>
        <v>5-10</v>
      </c>
      <c r="K22" s="1">
        <v>1.8</v>
      </c>
      <c r="L22" s="1">
        <v>50</v>
      </c>
      <c r="M22" s="1">
        <f t="shared" si="1"/>
        <v>50</v>
      </c>
      <c r="N22" s="1">
        <f t="shared" ref="N22:N23" si="5">M22</f>
        <v>50</v>
      </c>
      <c r="O22" t="s">
        <v>1053</v>
      </c>
      <c r="P22" s="4">
        <f>[2]Sheet1!K22</f>
        <v>0.65</v>
      </c>
    </row>
    <row r="23" spans="1:16" x14ac:dyDescent="0.35">
      <c r="A23" t="s">
        <v>55</v>
      </c>
      <c r="B23" t="str">
        <f>TRIM([1]Sheet1!AD23)</f>
        <v>Samuel Sanford</v>
      </c>
      <c r="C23" t="str">
        <f>IF(UPPER(LEFT([1]Sheet1!W23,1))="F","FEMALE","MALE")</f>
        <v>MALE</v>
      </c>
      <c r="D23">
        <v>51</v>
      </c>
      <c r="E23" t="s">
        <v>45</v>
      </c>
      <c r="F23" t="s">
        <v>45</v>
      </c>
      <c r="G23" t="s">
        <v>46</v>
      </c>
      <c r="H23" t="s">
        <v>48</v>
      </c>
      <c r="J23" s="1" t="str">
        <f t="shared" si="0"/>
        <v>0-5</v>
      </c>
      <c r="K23" s="1">
        <v>2.4</v>
      </c>
      <c r="M23" s="1">
        <f t="shared" si="1"/>
        <v>0</v>
      </c>
      <c r="N23" s="1">
        <f t="shared" si="5"/>
        <v>0</v>
      </c>
      <c r="O23" t="s">
        <v>1053</v>
      </c>
      <c r="P23" s="4">
        <f>[2]Sheet1!K23</f>
        <v>0.69</v>
      </c>
    </row>
    <row r="24" spans="1:16" x14ac:dyDescent="0.35">
      <c r="A24" t="s">
        <v>56</v>
      </c>
      <c r="B24" t="str">
        <f>TRIM([1]Sheet1!AD24)</f>
        <v>Cesar Greene</v>
      </c>
      <c r="C24" t="str">
        <f>IF(UPPER(LEFT([1]Sheet1!W24,1))="F","FEMALE","MALE")</f>
        <v>MALE</v>
      </c>
      <c r="D24">
        <v>51</v>
      </c>
      <c r="E24" t="s">
        <v>57</v>
      </c>
      <c r="F24" t="s">
        <v>57</v>
      </c>
      <c r="G24" t="s">
        <v>58</v>
      </c>
      <c r="H24" t="s">
        <v>41</v>
      </c>
      <c r="I24" s="1">
        <v>21</v>
      </c>
      <c r="J24" s="1" t="str">
        <f t="shared" si="0"/>
        <v>21- 25</v>
      </c>
      <c r="K24" s="1">
        <v>4.7</v>
      </c>
      <c r="L24" s="1" t="s">
        <v>1066</v>
      </c>
      <c r="M24" s="1" t="str">
        <f t="shared" si="1"/>
        <v>USD 30</v>
      </c>
      <c r="N24" s="1">
        <v>30</v>
      </c>
      <c r="O24" t="s">
        <v>1053</v>
      </c>
    </row>
    <row r="25" spans="1:16" x14ac:dyDescent="0.35">
      <c r="A25" t="s">
        <v>59</v>
      </c>
      <c r="B25" t="str">
        <f>TRIM([1]Sheet1!AD25)</f>
        <v>Melanie Carter</v>
      </c>
      <c r="C25" t="str">
        <f>IF(UPPER(LEFT([1]Sheet1!W25,1))="F","FEMALE","MALE")</f>
        <v>FEMALE</v>
      </c>
      <c r="D25">
        <v>51</v>
      </c>
      <c r="E25" t="s">
        <v>60</v>
      </c>
      <c r="F25" t="s">
        <v>60</v>
      </c>
      <c r="G25" t="s">
        <v>61</v>
      </c>
      <c r="H25" t="s">
        <v>62</v>
      </c>
      <c r="I25" s="1">
        <v>15</v>
      </c>
      <c r="J25" s="1" t="str">
        <f t="shared" si="0"/>
        <v>11-16</v>
      </c>
      <c r="K25" s="1">
        <v>1.3</v>
      </c>
      <c r="L25" s="2">
        <v>50</v>
      </c>
      <c r="M25" s="1">
        <f t="shared" si="1"/>
        <v>50</v>
      </c>
      <c r="N25" s="1">
        <f t="shared" ref="N25:N26" si="6">M25</f>
        <v>50</v>
      </c>
      <c r="O25" t="s">
        <v>1054</v>
      </c>
      <c r="P25" s="4">
        <f>[2]Sheet1!K25</f>
        <v>1</v>
      </c>
    </row>
    <row r="26" spans="1:16" x14ac:dyDescent="0.35">
      <c r="A26" t="s">
        <v>63</v>
      </c>
      <c r="B26" t="str">
        <f>TRIM([1]Sheet1!AD26)</f>
        <v>Jennifer Martin</v>
      </c>
      <c r="C26" t="str">
        <f>IF(UPPER(LEFT([1]Sheet1!W26,1))="F","FEMALE","MALE")</f>
        <v>FEMALE</v>
      </c>
      <c r="D26">
        <v>54</v>
      </c>
      <c r="E26" t="s">
        <v>25</v>
      </c>
      <c r="F26" t="s">
        <v>25</v>
      </c>
      <c r="G26" t="s">
        <v>26</v>
      </c>
      <c r="H26" t="s">
        <v>62</v>
      </c>
      <c r="I26" s="1">
        <v>13</v>
      </c>
      <c r="J26" s="1" t="str">
        <f t="shared" si="0"/>
        <v>11-16</v>
      </c>
      <c r="K26" s="1">
        <v>2.9</v>
      </c>
      <c r="L26" s="1">
        <v>75</v>
      </c>
      <c r="M26" s="1">
        <f t="shared" si="1"/>
        <v>75</v>
      </c>
      <c r="N26" s="1">
        <f t="shared" si="6"/>
        <v>75</v>
      </c>
      <c r="P26" s="3">
        <f>[2]Sheet1!K26/100</f>
        <v>0.92</v>
      </c>
    </row>
    <row r="27" spans="1:16" x14ac:dyDescent="0.35">
      <c r="A27" t="s">
        <v>64</v>
      </c>
      <c r="B27" t="str">
        <f>TRIM([1]Sheet1!AD27)</f>
        <v>Anna Mccann</v>
      </c>
      <c r="C27" t="str">
        <f>IF(UPPER(LEFT([1]Sheet1!W27,1))="F","FEMALE","MALE")</f>
        <v>FEMALE</v>
      </c>
      <c r="D27">
        <v>22</v>
      </c>
      <c r="E27" t="s">
        <v>60</v>
      </c>
      <c r="F27" t="s">
        <v>60</v>
      </c>
      <c r="G27" t="s">
        <v>61</v>
      </c>
      <c r="H27" t="s">
        <v>48</v>
      </c>
      <c r="I27" s="1">
        <v>0</v>
      </c>
      <c r="J27" s="1" t="str">
        <f t="shared" si="0"/>
        <v>0-5</v>
      </c>
      <c r="K27" s="1">
        <v>1.2</v>
      </c>
      <c r="L27" s="1" t="s">
        <v>1066</v>
      </c>
      <c r="M27" s="1" t="str">
        <f t="shared" si="1"/>
        <v>USD 30</v>
      </c>
      <c r="N27" s="1">
        <v>30</v>
      </c>
      <c r="O27" t="s">
        <v>1054</v>
      </c>
      <c r="P27" s="4">
        <f>[2]Sheet1!K27</f>
        <v>0.7</v>
      </c>
    </row>
    <row r="28" spans="1:16" x14ac:dyDescent="0.35">
      <c r="A28" t="s">
        <v>65</v>
      </c>
      <c r="B28" t="str">
        <f>TRIM([1]Sheet1!AD28)</f>
        <v>Marissa Bass</v>
      </c>
      <c r="C28" t="str">
        <f>IF(UPPER(LEFT([1]Sheet1!W28,1))="F","FEMALE","MALE")</f>
        <v>FEMALE</v>
      </c>
      <c r="D28">
        <v>34</v>
      </c>
      <c r="E28" t="s">
        <v>45</v>
      </c>
      <c r="F28" t="s">
        <v>45</v>
      </c>
      <c r="G28" t="s">
        <v>46</v>
      </c>
      <c r="H28" t="s">
        <v>8</v>
      </c>
      <c r="I28" s="1">
        <v>8</v>
      </c>
      <c r="J28" s="1" t="str">
        <f t="shared" si="0"/>
        <v>5-10</v>
      </c>
      <c r="K28" s="1">
        <v>0</v>
      </c>
      <c r="L28" s="2">
        <v>20</v>
      </c>
      <c r="M28" s="1">
        <f t="shared" si="1"/>
        <v>20</v>
      </c>
      <c r="N28" s="1">
        <f t="shared" ref="N28:N30" si="7">M28</f>
        <v>20</v>
      </c>
      <c r="O28" t="s">
        <v>1054</v>
      </c>
      <c r="P28" s="4">
        <f>[2]Sheet1!K28</f>
        <v>0.89</v>
      </c>
    </row>
    <row r="29" spans="1:16" x14ac:dyDescent="0.35">
      <c r="A29" t="s">
        <v>66</v>
      </c>
      <c r="B29" t="str">
        <f>TRIM([1]Sheet1!AD29)</f>
        <v>Alexis Day</v>
      </c>
      <c r="C29" t="str">
        <f>IF(UPPER(LEFT([1]Sheet1!W29,1))="F","FEMALE","MALE")</f>
        <v>FEMALE</v>
      </c>
      <c r="D29">
        <v>36</v>
      </c>
      <c r="E29" t="s">
        <v>67</v>
      </c>
      <c r="F29" t="s">
        <v>67</v>
      </c>
      <c r="G29" t="s">
        <v>68</v>
      </c>
      <c r="H29" t="s">
        <v>16</v>
      </c>
      <c r="I29" s="1">
        <v>11</v>
      </c>
      <c r="J29" s="1" t="str">
        <f t="shared" si="0"/>
        <v>11-16</v>
      </c>
      <c r="K29" s="1">
        <v>1.8</v>
      </c>
      <c r="M29" s="1">
        <f t="shared" si="1"/>
        <v>0</v>
      </c>
      <c r="N29" s="1">
        <f t="shared" si="7"/>
        <v>0</v>
      </c>
      <c r="O29" t="s">
        <v>1054</v>
      </c>
      <c r="P29" s="4">
        <f>[2]Sheet1!K29</f>
        <v>0.86</v>
      </c>
    </row>
    <row r="30" spans="1:16" x14ac:dyDescent="0.35">
      <c r="A30" t="s">
        <v>69</v>
      </c>
      <c r="B30" t="str">
        <f>TRIM([1]Sheet1!AD30)</f>
        <v>Megan Jones</v>
      </c>
      <c r="C30" t="str">
        <f>IF(UPPER(LEFT([1]Sheet1!W30,1))="F","FEMALE","MALE")</f>
        <v>FEMALE</v>
      </c>
      <c r="D30">
        <v>47</v>
      </c>
      <c r="E30" t="s">
        <v>70</v>
      </c>
      <c r="F30" t="s">
        <v>70</v>
      </c>
      <c r="G30" t="s">
        <v>11</v>
      </c>
      <c r="H30" t="s">
        <v>23</v>
      </c>
      <c r="I30" s="1">
        <v>22</v>
      </c>
      <c r="J30" s="1" t="str">
        <f t="shared" si="0"/>
        <v>21- 25</v>
      </c>
      <c r="K30" s="1">
        <v>1.3</v>
      </c>
      <c r="L30" s="1">
        <v>30</v>
      </c>
      <c r="M30" s="1">
        <f t="shared" si="1"/>
        <v>30</v>
      </c>
      <c r="N30" s="1">
        <f t="shared" si="7"/>
        <v>30</v>
      </c>
      <c r="O30" t="s">
        <v>1053</v>
      </c>
      <c r="P30" s="4">
        <f>[2]Sheet1!K30</f>
        <v>0.62</v>
      </c>
    </row>
    <row r="31" spans="1:16" x14ac:dyDescent="0.35">
      <c r="A31" t="s">
        <v>71</v>
      </c>
      <c r="B31" t="str">
        <f>TRIM([1]Sheet1!AD31)</f>
        <v>Lori Smith</v>
      </c>
      <c r="C31" t="str">
        <f>IF(UPPER(LEFT([1]Sheet1!W31,1))="F","FEMALE","MALE")</f>
        <v>FEMALE</v>
      </c>
      <c r="D31">
        <v>41</v>
      </c>
      <c r="E31" t="s">
        <v>21</v>
      </c>
      <c r="F31" t="s">
        <v>21</v>
      </c>
      <c r="G31" t="s">
        <v>22</v>
      </c>
      <c r="H31" t="s">
        <v>27</v>
      </c>
      <c r="I31" s="1">
        <v>14</v>
      </c>
      <c r="J31" s="1" t="str">
        <f t="shared" si="0"/>
        <v>11-16</v>
      </c>
      <c r="K31" s="1">
        <v>1.2</v>
      </c>
      <c r="L31" s="1" t="s">
        <v>1063</v>
      </c>
      <c r="M31" s="1" t="str">
        <f t="shared" si="1"/>
        <v>USD 75</v>
      </c>
      <c r="N31" s="1">
        <v>75</v>
      </c>
      <c r="O31" t="s">
        <v>1053</v>
      </c>
    </row>
    <row r="32" spans="1:16" x14ac:dyDescent="0.35">
      <c r="A32" t="s">
        <v>72</v>
      </c>
      <c r="B32" t="str">
        <f>TRIM([1]Sheet1!AD32)</f>
        <v>Eric Carpenter</v>
      </c>
      <c r="C32" t="str">
        <f>IF(UPPER(LEFT([1]Sheet1!W32,1))="F","FEMALE","MALE")</f>
        <v>MALE</v>
      </c>
      <c r="D32">
        <v>22</v>
      </c>
      <c r="E32" t="s">
        <v>21</v>
      </c>
      <c r="F32" t="s">
        <v>21</v>
      </c>
      <c r="G32" t="s">
        <v>22</v>
      </c>
      <c r="H32" t="s">
        <v>48</v>
      </c>
      <c r="I32" s="1">
        <v>4</v>
      </c>
      <c r="J32" s="1" t="str">
        <f t="shared" si="0"/>
        <v>0-5</v>
      </c>
      <c r="K32" s="1">
        <v>1</v>
      </c>
      <c r="M32" s="1">
        <f t="shared" si="1"/>
        <v>0</v>
      </c>
      <c r="N32" s="1">
        <f>M32</f>
        <v>0</v>
      </c>
      <c r="O32" t="s">
        <v>1054</v>
      </c>
    </row>
    <row r="33" spans="1:16" x14ac:dyDescent="0.35">
      <c r="A33" t="s">
        <v>73</v>
      </c>
      <c r="B33" t="str">
        <f>TRIM([1]Sheet1!AD33)</f>
        <v>Timothy Daniels</v>
      </c>
      <c r="C33" t="str">
        <f>IF(UPPER(LEFT([1]Sheet1!W33,1))="F","FEMALE","MALE")</f>
        <v>MALE</v>
      </c>
      <c r="D33">
        <v>38</v>
      </c>
      <c r="E33" t="s">
        <v>74</v>
      </c>
      <c r="F33" t="s">
        <v>74</v>
      </c>
      <c r="G33" t="s">
        <v>75</v>
      </c>
      <c r="H33" t="s">
        <v>62</v>
      </c>
      <c r="I33" s="1">
        <v>19</v>
      </c>
      <c r="J33" s="1" t="str">
        <f t="shared" si="0"/>
        <v xml:space="preserve"> 16-20</v>
      </c>
      <c r="K33" s="1">
        <v>4.2</v>
      </c>
      <c r="L33" s="1" t="s">
        <v>1062</v>
      </c>
      <c r="M33" s="1" t="str">
        <f t="shared" si="1"/>
        <v>USD 100</v>
      </c>
      <c r="N33" s="1">
        <v>100</v>
      </c>
      <c r="O33" t="s">
        <v>1053</v>
      </c>
      <c r="P33" s="4">
        <f>[2]Sheet1!K33</f>
        <v>0.68</v>
      </c>
    </row>
    <row r="34" spans="1:16" x14ac:dyDescent="0.35">
      <c r="A34" t="s">
        <v>76</v>
      </c>
      <c r="B34" t="str">
        <f>TRIM([1]Sheet1!AD34)</f>
        <v>Robert Nelson</v>
      </c>
      <c r="C34" t="str">
        <f>IF(UPPER(LEFT([1]Sheet1!W34,1))="F","FEMALE","MALE")</f>
        <v>MALE</v>
      </c>
      <c r="D34">
        <v>46</v>
      </c>
      <c r="E34" t="s">
        <v>77</v>
      </c>
      <c r="F34" t="s">
        <v>77</v>
      </c>
      <c r="G34" t="s">
        <v>78</v>
      </c>
      <c r="H34" t="s">
        <v>23</v>
      </c>
      <c r="I34" s="1">
        <v>9</v>
      </c>
      <c r="J34" s="1" t="str">
        <f t="shared" si="0"/>
        <v>5-10</v>
      </c>
      <c r="K34" s="1">
        <v>1.4</v>
      </c>
      <c r="L34" s="1">
        <v>20</v>
      </c>
      <c r="M34" s="1">
        <f t="shared" si="1"/>
        <v>20</v>
      </c>
      <c r="N34" s="1">
        <f t="shared" ref="N34:N41" si="8">M34</f>
        <v>20</v>
      </c>
      <c r="O34" t="s">
        <v>1054</v>
      </c>
      <c r="P34" s="4">
        <f>[2]Sheet1!K34</f>
        <v>0.76</v>
      </c>
    </row>
    <row r="35" spans="1:16" x14ac:dyDescent="0.35">
      <c r="A35" t="s">
        <v>79</v>
      </c>
      <c r="B35" t="str">
        <f>TRIM([1]Sheet1!AD35)</f>
        <v>Michael Anderson</v>
      </c>
      <c r="C35" t="str">
        <f>IF(UPPER(LEFT([1]Sheet1!W35,1))="F","FEMALE","MALE")</f>
        <v>MALE</v>
      </c>
      <c r="E35" t="s">
        <v>60</v>
      </c>
      <c r="F35" t="s">
        <v>60</v>
      </c>
      <c r="G35" t="s">
        <v>61</v>
      </c>
      <c r="H35" t="s">
        <v>23</v>
      </c>
      <c r="I35" s="1">
        <v>9</v>
      </c>
      <c r="J35" s="1" t="str">
        <f t="shared" si="0"/>
        <v>5-10</v>
      </c>
      <c r="K35" s="1">
        <v>2.4</v>
      </c>
      <c r="L35" s="1">
        <v>40</v>
      </c>
      <c r="M35" s="1">
        <f t="shared" si="1"/>
        <v>40</v>
      </c>
      <c r="N35" s="1">
        <f t="shared" si="8"/>
        <v>40</v>
      </c>
      <c r="O35" t="s">
        <v>1054</v>
      </c>
      <c r="P35" s="3">
        <f>[2]Sheet1!K35/100</f>
        <v>0.82</v>
      </c>
    </row>
    <row r="36" spans="1:16" x14ac:dyDescent="0.35">
      <c r="A36" t="s">
        <v>80</v>
      </c>
      <c r="B36" t="str">
        <f>TRIM([1]Sheet1!AD36)</f>
        <v>Jessica Snyder</v>
      </c>
      <c r="C36" t="str">
        <f>IF(UPPER(LEFT([1]Sheet1!W36,1))="F","FEMALE","MALE")</f>
        <v>FEMALE</v>
      </c>
      <c r="D36">
        <v>54</v>
      </c>
      <c r="E36" t="s">
        <v>30</v>
      </c>
      <c r="F36" t="s">
        <v>30</v>
      </c>
      <c r="G36" t="s">
        <v>11</v>
      </c>
      <c r="H36" t="s">
        <v>18</v>
      </c>
      <c r="I36" s="1">
        <v>32</v>
      </c>
      <c r="J36" s="1" t="str">
        <f t="shared" si="0"/>
        <v>31+</v>
      </c>
      <c r="K36" s="1">
        <v>1</v>
      </c>
      <c r="L36" s="1">
        <v>75</v>
      </c>
      <c r="M36" s="1">
        <f t="shared" si="1"/>
        <v>75</v>
      </c>
      <c r="N36" s="1">
        <f t="shared" si="8"/>
        <v>75</v>
      </c>
      <c r="O36" t="s">
        <v>1054</v>
      </c>
      <c r="P36" s="4">
        <f>[2]Sheet1!K36</f>
        <v>0.81</v>
      </c>
    </row>
    <row r="37" spans="1:16" x14ac:dyDescent="0.35">
      <c r="A37" t="s">
        <v>81</v>
      </c>
      <c r="B37" t="str">
        <f>TRIM([1]Sheet1!AD37)</f>
        <v>Emily Daniels</v>
      </c>
      <c r="C37" t="str">
        <f>IF(UPPER(LEFT([1]Sheet1!W37,1))="F","FEMALE","MALE")</f>
        <v>FEMALE</v>
      </c>
      <c r="D37">
        <v>52</v>
      </c>
      <c r="E37" t="s">
        <v>60</v>
      </c>
      <c r="F37" t="s">
        <v>60</v>
      </c>
      <c r="G37" t="s">
        <v>61</v>
      </c>
      <c r="H37" t="s">
        <v>18</v>
      </c>
      <c r="I37" s="1">
        <v>28</v>
      </c>
      <c r="J37" s="1" t="str">
        <f t="shared" si="0"/>
        <v>26-30</v>
      </c>
      <c r="L37" s="2">
        <v>20</v>
      </c>
      <c r="M37" s="1">
        <f t="shared" si="1"/>
        <v>20</v>
      </c>
      <c r="N37" s="1">
        <f t="shared" si="8"/>
        <v>20</v>
      </c>
      <c r="O37" t="s">
        <v>1053</v>
      </c>
    </row>
    <row r="38" spans="1:16" x14ac:dyDescent="0.35">
      <c r="A38" t="s">
        <v>82</v>
      </c>
      <c r="B38" t="str">
        <f>TRIM([1]Sheet1!AD38)</f>
        <v>Jamie Ramirez</v>
      </c>
      <c r="C38" t="str">
        <f>IF(UPPER(LEFT([1]Sheet1!W38,1))="F","FEMALE","MALE")</f>
        <v>FEMALE</v>
      </c>
      <c r="D38">
        <v>42</v>
      </c>
      <c r="E38" t="s">
        <v>45</v>
      </c>
      <c r="F38" t="s">
        <v>45</v>
      </c>
      <c r="G38" t="s">
        <v>46</v>
      </c>
      <c r="H38" t="s">
        <v>12</v>
      </c>
      <c r="I38" s="1">
        <v>6</v>
      </c>
      <c r="J38" s="1" t="str">
        <f t="shared" si="0"/>
        <v>5-10</v>
      </c>
      <c r="L38" s="1">
        <v>40</v>
      </c>
      <c r="M38" s="1">
        <f t="shared" si="1"/>
        <v>40</v>
      </c>
      <c r="N38" s="1">
        <f t="shared" si="8"/>
        <v>40</v>
      </c>
      <c r="O38" t="s">
        <v>1053</v>
      </c>
      <c r="P38" s="4">
        <f>[2]Sheet1!K38</f>
        <v>0.63</v>
      </c>
    </row>
    <row r="39" spans="1:16" x14ac:dyDescent="0.35">
      <c r="A39" t="s">
        <v>83</v>
      </c>
      <c r="B39" t="str">
        <f>TRIM([1]Sheet1!AD39)</f>
        <v>Amy Harrison</v>
      </c>
      <c r="C39" t="str">
        <f>IF(UPPER(LEFT([1]Sheet1!W39,1))="F","FEMALE","MALE")</f>
        <v>FEMALE</v>
      </c>
      <c r="D39">
        <v>29</v>
      </c>
      <c r="E39" t="s">
        <v>21</v>
      </c>
      <c r="F39" t="s">
        <v>21</v>
      </c>
      <c r="G39" t="s">
        <v>22</v>
      </c>
      <c r="H39" t="s">
        <v>16</v>
      </c>
      <c r="I39" s="1">
        <v>10</v>
      </c>
      <c r="J39" s="1" t="str">
        <f t="shared" si="0"/>
        <v>5-10</v>
      </c>
      <c r="K39" s="1">
        <v>2.2000000000000002</v>
      </c>
      <c r="L39" s="1">
        <v>40</v>
      </c>
      <c r="M39" s="1">
        <f t="shared" si="1"/>
        <v>40</v>
      </c>
      <c r="N39" s="1">
        <f t="shared" si="8"/>
        <v>40</v>
      </c>
      <c r="O39" t="s">
        <v>1053</v>
      </c>
      <c r="P39" s="4">
        <f>[2]Sheet1!K39</f>
        <v>0.67</v>
      </c>
    </row>
    <row r="40" spans="1:16" x14ac:dyDescent="0.35">
      <c r="A40" t="s">
        <v>84</v>
      </c>
      <c r="B40" t="str">
        <f>TRIM([1]Sheet1!AD40)</f>
        <v>Melinda White</v>
      </c>
      <c r="C40" t="str">
        <f>IF(UPPER(LEFT([1]Sheet1!W40,1))="F","FEMALE","MALE")</f>
        <v>FEMALE</v>
      </c>
      <c r="D40">
        <v>42</v>
      </c>
      <c r="E40" t="s">
        <v>85</v>
      </c>
      <c r="F40" t="s">
        <v>85</v>
      </c>
      <c r="G40" t="s">
        <v>86</v>
      </c>
      <c r="H40" t="s">
        <v>12</v>
      </c>
      <c r="I40" s="1">
        <v>23</v>
      </c>
      <c r="J40" s="1" t="str">
        <f t="shared" si="0"/>
        <v>21- 25</v>
      </c>
      <c r="K40" s="1">
        <v>3.2</v>
      </c>
      <c r="L40" s="1">
        <v>50</v>
      </c>
      <c r="M40" s="1">
        <f t="shared" si="1"/>
        <v>50</v>
      </c>
      <c r="N40" s="1">
        <f t="shared" si="8"/>
        <v>50</v>
      </c>
      <c r="O40" t="s">
        <v>1054</v>
      </c>
    </row>
    <row r="41" spans="1:16" x14ac:dyDescent="0.35">
      <c r="A41" t="s">
        <v>87</v>
      </c>
      <c r="B41" t="str">
        <f>TRIM([1]Sheet1!AD41)</f>
        <v>James Hernandez</v>
      </c>
      <c r="C41" t="str">
        <f>IF(UPPER(LEFT([1]Sheet1!W41,1))="F","FEMALE","MALE")</f>
        <v>MALE</v>
      </c>
      <c r="D41">
        <v>60</v>
      </c>
      <c r="E41" t="s">
        <v>45</v>
      </c>
      <c r="F41" t="s">
        <v>45</v>
      </c>
      <c r="G41" t="s">
        <v>46</v>
      </c>
      <c r="H41" t="s">
        <v>18</v>
      </c>
      <c r="I41" s="1">
        <v>13</v>
      </c>
      <c r="J41" s="1" t="str">
        <f t="shared" si="0"/>
        <v>11-16</v>
      </c>
      <c r="K41" s="1">
        <v>3.6</v>
      </c>
      <c r="L41" s="2">
        <v>20</v>
      </c>
      <c r="M41" s="1">
        <f t="shared" si="1"/>
        <v>20</v>
      </c>
      <c r="N41" s="1">
        <f t="shared" si="8"/>
        <v>20</v>
      </c>
      <c r="O41" t="s">
        <v>1053</v>
      </c>
      <c r="P41" s="4">
        <f>[2]Sheet1!K41</f>
        <v>0.8</v>
      </c>
    </row>
    <row r="42" spans="1:16" x14ac:dyDescent="0.35">
      <c r="A42" t="s">
        <v>88</v>
      </c>
      <c r="B42" t="str">
        <f>TRIM([1]Sheet1!AD42)</f>
        <v>Angelica Rogers</v>
      </c>
      <c r="C42" t="str">
        <f>IF(UPPER(LEFT([1]Sheet1!W42,1))="F","FEMALE","MALE")</f>
        <v>FEMALE</v>
      </c>
      <c r="D42">
        <v>59</v>
      </c>
      <c r="E42" t="s">
        <v>35</v>
      </c>
      <c r="F42" t="s">
        <v>35</v>
      </c>
      <c r="G42" t="s">
        <v>11</v>
      </c>
      <c r="H42" t="s">
        <v>23</v>
      </c>
      <c r="I42" s="1">
        <v>3</v>
      </c>
      <c r="J42" s="1" t="str">
        <f t="shared" si="0"/>
        <v>0-5</v>
      </c>
      <c r="K42" s="1">
        <v>0</v>
      </c>
      <c r="L42" s="1" t="s">
        <v>1065</v>
      </c>
      <c r="M42" s="1" t="str">
        <f t="shared" si="1"/>
        <v>USD 50</v>
      </c>
      <c r="N42" s="1">
        <v>50</v>
      </c>
      <c r="O42" t="s">
        <v>1053</v>
      </c>
    </row>
    <row r="43" spans="1:16" x14ac:dyDescent="0.35">
      <c r="A43" t="s">
        <v>89</v>
      </c>
      <c r="B43" t="str">
        <f>TRIM([1]Sheet1!AD43)</f>
        <v>Savannah Williams</v>
      </c>
      <c r="C43" t="str">
        <f>IF(UPPER(LEFT([1]Sheet1!W43,1))="F","FEMALE","MALE")</f>
        <v>FEMALE</v>
      </c>
      <c r="D43">
        <v>21</v>
      </c>
      <c r="E43" t="s">
        <v>70</v>
      </c>
      <c r="F43" t="s">
        <v>70</v>
      </c>
      <c r="G43" t="s">
        <v>11</v>
      </c>
      <c r="H43" t="s">
        <v>18</v>
      </c>
      <c r="I43" s="1">
        <v>0</v>
      </c>
      <c r="J43" s="1" t="str">
        <f t="shared" si="0"/>
        <v>0-5</v>
      </c>
      <c r="K43" s="1">
        <v>2.7</v>
      </c>
      <c r="L43" s="1">
        <v>30</v>
      </c>
      <c r="M43" s="1">
        <f t="shared" si="1"/>
        <v>30</v>
      </c>
      <c r="N43" s="1">
        <f t="shared" ref="N43:N47" si="9">M43</f>
        <v>30</v>
      </c>
      <c r="O43" t="s">
        <v>1054</v>
      </c>
      <c r="P43" s="4">
        <f>[2]Sheet1!K43</f>
        <v>0.84</v>
      </c>
    </row>
    <row r="44" spans="1:16" x14ac:dyDescent="0.35">
      <c r="A44" t="s">
        <v>90</v>
      </c>
      <c r="B44" t="str">
        <f>TRIM([1]Sheet1!AD44)</f>
        <v>Kaitlyn Schmidt</v>
      </c>
      <c r="C44" t="str">
        <f>IF(UPPER(LEFT([1]Sheet1!W44,1))="F","FEMALE","MALE")</f>
        <v>FEMALE</v>
      </c>
      <c r="D44">
        <v>35</v>
      </c>
      <c r="E44" t="s">
        <v>14</v>
      </c>
      <c r="F44" t="s">
        <v>14</v>
      </c>
      <c r="G44" t="s">
        <v>15</v>
      </c>
      <c r="H44" t="s">
        <v>48</v>
      </c>
      <c r="I44" s="1">
        <v>10</v>
      </c>
      <c r="J44" s="1" t="str">
        <f t="shared" si="0"/>
        <v>5-10</v>
      </c>
      <c r="K44" s="1">
        <v>0</v>
      </c>
      <c r="L44" s="2">
        <v>50</v>
      </c>
      <c r="M44" s="1">
        <f t="shared" si="1"/>
        <v>50</v>
      </c>
      <c r="N44" s="1">
        <f t="shared" si="9"/>
        <v>50</v>
      </c>
      <c r="O44" t="s">
        <v>1053</v>
      </c>
    </row>
    <row r="45" spans="1:16" x14ac:dyDescent="0.35">
      <c r="A45" t="s">
        <v>91</v>
      </c>
      <c r="B45" t="str">
        <f>TRIM([1]Sheet1!AD45)</f>
        <v>Jason Singh</v>
      </c>
      <c r="C45" t="str">
        <f>IF(UPPER(LEFT([1]Sheet1!W45,1))="F","FEMALE","MALE")</f>
        <v>MALE</v>
      </c>
      <c r="D45">
        <v>41</v>
      </c>
      <c r="E45" t="s">
        <v>35</v>
      </c>
      <c r="F45" t="s">
        <v>35</v>
      </c>
      <c r="G45" t="s">
        <v>11</v>
      </c>
      <c r="H45" t="s">
        <v>27</v>
      </c>
      <c r="J45" s="1" t="str">
        <f t="shared" si="0"/>
        <v>0-5</v>
      </c>
      <c r="K45" s="1">
        <v>2.8</v>
      </c>
      <c r="L45" s="1">
        <v>20</v>
      </c>
      <c r="M45" s="1">
        <f t="shared" si="1"/>
        <v>20</v>
      </c>
      <c r="N45" s="1">
        <f t="shared" si="9"/>
        <v>20</v>
      </c>
      <c r="O45" t="s">
        <v>1054</v>
      </c>
      <c r="P45" s="4">
        <f>[2]Sheet1!K45</f>
        <v>0.63</v>
      </c>
    </row>
    <row r="46" spans="1:16" x14ac:dyDescent="0.35">
      <c r="A46" t="s">
        <v>92</v>
      </c>
      <c r="B46" t="str">
        <f>TRIM([1]Sheet1!AD46)</f>
        <v>Michelle Ramirez</v>
      </c>
      <c r="C46" t="str">
        <f>IF(UPPER(LEFT([1]Sheet1!W46,1))="F","FEMALE","MALE")</f>
        <v>FEMALE</v>
      </c>
      <c r="D46">
        <v>51</v>
      </c>
      <c r="E46" t="s">
        <v>21</v>
      </c>
      <c r="F46" t="s">
        <v>21</v>
      </c>
      <c r="G46" t="s">
        <v>22</v>
      </c>
      <c r="H46" t="s">
        <v>62</v>
      </c>
      <c r="I46" s="1">
        <v>23</v>
      </c>
      <c r="J46" s="1" t="str">
        <f t="shared" si="0"/>
        <v>21- 25</v>
      </c>
      <c r="K46" s="1">
        <v>2.5</v>
      </c>
      <c r="L46" s="1">
        <v>20</v>
      </c>
      <c r="M46" s="1">
        <f t="shared" si="1"/>
        <v>20</v>
      </c>
      <c r="N46" s="1">
        <f t="shared" si="9"/>
        <v>20</v>
      </c>
      <c r="O46" t="s">
        <v>1053</v>
      </c>
      <c r="P46" s="4">
        <f>[2]Sheet1!K46</f>
        <v>0.8</v>
      </c>
    </row>
    <row r="47" spans="1:16" x14ac:dyDescent="0.35">
      <c r="A47" t="s">
        <v>93</v>
      </c>
      <c r="B47" t="str">
        <f>TRIM([1]Sheet1!AD47)</f>
        <v>James Brown</v>
      </c>
      <c r="C47" t="str">
        <f>IF(UPPER(LEFT([1]Sheet1!W47,1))="F","FEMALE","MALE")</f>
        <v>MALE</v>
      </c>
      <c r="D47">
        <v>41</v>
      </c>
      <c r="E47" t="s">
        <v>85</v>
      </c>
      <c r="F47" t="s">
        <v>85</v>
      </c>
      <c r="G47" t="s">
        <v>86</v>
      </c>
      <c r="H47" t="s">
        <v>18</v>
      </c>
      <c r="I47" s="1">
        <v>9</v>
      </c>
      <c r="J47" s="1" t="str">
        <f t="shared" si="0"/>
        <v>5-10</v>
      </c>
      <c r="K47" s="1">
        <v>4.9000000000000004</v>
      </c>
      <c r="L47" s="2">
        <v>75</v>
      </c>
      <c r="M47" s="1">
        <f t="shared" si="1"/>
        <v>75</v>
      </c>
      <c r="N47" s="1">
        <f t="shared" si="9"/>
        <v>75</v>
      </c>
      <c r="O47" t="s">
        <v>1054</v>
      </c>
      <c r="P47" s="4">
        <f>[2]Sheet1!K47</f>
        <v>0.74</v>
      </c>
    </row>
    <row r="48" spans="1:16" x14ac:dyDescent="0.35">
      <c r="A48" t="s">
        <v>94</v>
      </c>
      <c r="B48" t="str">
        <f>TRIM([1]Sheet1!AD48)</f>
        <v>Samantha Simmons</v>
      </c>
      <c r="C48" t="str">
        <f>IF(UPPER(LEFT([1]Sheet1!W48,1))="F","FEMALE","MALE")</f>
        <v>FEMALE</v>
      </c>
      <c r="D48">
        <v>47</v>
      </c>
      <c r="E48" t="s">
        <v>77</v>
      </c>
      <c r="F48" t="s">
        <v>77</v>
      </c>
      <c r="G48" t="s">
        <v>78</v>
      </c>
      <c r="H48" t="s">
        <v>48</v>
      </c>
      <c r="I48" s="1">
        <v>15</v>
      </c>
      <c r="J48" s="1" t="str">
        <f t="shared" si="0"/>
        <v>11-16</v>
      </c>
      <c r="K48" s="1">
        <v>4.5</v>
      </c>
      <c r="L48" s="1" t="s">
        <v>1066</v>
      </c>
      <c r="M48" s="1" t="str">
        <f t="shared" si="1"/>
        <v>USD 30</v>
      </c>
      <c r="N48" s="1">
        <v>30</v>
      </c>
      <c r="O48" t="s">
        <v>1054</v>
      </c>
      <c r="P48" s="4">
        <f>[2]Sheet1!K48</f>
        <v>0.85</v>
      </c>
    </row>
    <row r="49" spans="1:16" x14ac:dyDescent="0.35">
      <c r="A49" t="s">
        <v>95</v>
      </c>
      <c r="B49" t="str">
        <f>TRIM([1]Sheet1!AD49)</f>
        <v>Chase Mason</v>
      </c>
      <c r="C49" t="str">
        <f>IF(UPPER(LEFT([1]Sheet1!W49,1))="F","FEMALE","MALE")</f>
        <v>MALE</v>
      </c>
      <c r="D49">
        <v>25</v>
      </c>
      <c r="E49" t="s">
        <v>96</v>
      </c>
      <c r="F49" t="s">
        <v>96</v>
      </c>
      <c r="G49" t="s">
        <v>97</v>
      </c>
      <c r="H49" t="s">
        <v>16</v>
      </c>
      <c r="I49" s="1">
        <v>4</v>
      </c>
      <c r="J49" s="1" t="str">
        <f t="shared" si="0"/>
        <v>0-5</v>
      </c>
      <c r="K49" s="1">
        <v>2.7</v>
      </c>
      <c r="L49" s="1">
        <v>50</v>
      </c>
      <c r="M49" s="1">
        <f t="shared" si="1"/>
        <v>50</v>
      </c>
      <c r="N49" s="1">
        <f t="shared" ref="N49:N58" si="10">M49</f>
        <v>50</v>
      </c>
      <c r="O49" t="s">
        <v>1053</v>
      </c>
      <c r="P49" s="4">
        <f>[2]Sheet1!K49</f>
        <v>0.77</v>
      </c>
    </row>
    <row r="50" spans="1:16" x14ac:dyDescent="0.35">
      <c r="A50" t="s">
        <v>98</v>
      </c>
      <c r="B50" t="str">
        <f>TRIM([1]Sheet1!AD50)</f>
        <v>Dominique Ward</v>
      </c>
      <c r="C50" t="str">
        <f>IF(UPPER(LEFT([1]Sheet1!W50,1))="F","FEMALE","MALE")</f>
        <v>FEMALE</v>
      </c>
      <c r="D50">
        <v>25</v>
      </c>
      <c r="E50" t="s">
        <v>99</v>
      </c>
      <c r="F50" t="s">
        <v>99</v>
      </c>
      <c r="G50" t="s">
        <v>38</v>
      </c>
      <c r="H50" t="s">
        <v>12</v>
      </c>
      <c r="I50" s="1">
        <v>7</v>
      </c>
      <c r="J50" s="1" t="str">
        <f t="shared" si="0"/>
        <v>5-10</v>
      </c>
      <c r="K50" s="1">
        <v>1.9</v>
      </c>
      <c r="L50" s="1">
        <v>20</v>
      </c>
      <c r="M50" s="1">
        <f t="shared" si="1"/>
        <v>20</v>
      </c>
      <c r="N50" s="1">
        <f t="shared" si="10"/>
        <v>20</v>
      </c>
      <c r="O50" t="s">
        <v>1053</v>
      </c>
    </row>
    <row r="51" spans="1:16" x14ac:dyDescent="0.35">
      <c r="A51" t="s">
        <v>100</v>
      </c>
      <c r="B51" t="str">
        <f>TRIM([1]Sheet1!AD51)</f>
        <v>Lance Griffin</v>
      </c>
      <c r="C51" t="str">
        <f>IF(UPPER(LEFT([1]Sheet1!W51,1))="F","FEMALE","MALE")</f>
        <v>MALE</v>
      </c>
      <c r="D51">
        <v>29</v>
      </c>
      <c r="E51" t="s">
        <v>21</v>
      </c>
      <c r="F51" t="s">
        <v>21</v>
      </c>
      <c r="G51" t="s">
        <v>22</v>
      </c>
      <c r="H51" t="s">
        <v>39</v>
      </c>
      <c r="I51" s="1">
        <v>1</v>
      </c>
      <c r="J51" s="1" t="str">
        <f t="shared" si="0"/>
        <v>0-5</v>
      </c>
      <c r="K51" s="1">
        <v>1.4</v>
      </c>
      <c r="L51" s="1">
        <v>20</v>
      </c>
      <c r="M51" s="1">
        <f t="shared" si="1"/>
        <v>20</v>
      </c>
      <c r="N51" s="1">
        <f t="shared" si="10"/>
        <v>20</v>
      </c>
      <c r="O51" t="s">
        <v>1054</v>
      </c>
      <c r="P51" s="4">
        <f>[2]Sheet1!K51</f>
        <v>0.63</v>
      </c>
    </row>
    <row r="52" spans="1:16" x14ac:dyDescent="0.35">
      <c r="A52" t="s">
        <v>101</v>
      </c>
      <c r="B52" t="str">
        <f>TRIM([1]Sheet1!AD52)</f>
        <v>Julie Burgess</v>
      </c>
      <c r="C52" t="str">
        <f>IF(UPPER(LEFT([1]Sheet1!W52,1))="F","FEMALE","MALE")</f>
        <v>FEMALE</v>
      </c>
      <c r="D52">
        <v>23</v>
      </c>
      <c r="E52" t="s">
        <v>37</v>
      </c>
      <c r="F52" t="s">
        <v>37</v>
      </c>
      <c r="G52" t="s">
        <v>38</v>
      </c>
      <c r="H52" t="s">
        <v>41</v>
      </c>
      <c r="I52" s="1">
        <v>0</v>
      </c>
      <c r="J52" s="1" t="str">
        <f t="shared" si="0"/>
        <v>0-5</v>
      </c>
      <c r="K52" s="1">
        <v>1.9</v>
      </c>
      <c r="L52" s="1">
        <v>75</v>
      </c>
      <c r="M52" s="1">
        <f t="shared" si="1"/>
        <v>75</v>
      </c>
      <c r="N52" s="1">
        <f t="shared" si="10"/>
        <v>75</v>
      </c>
      <c r="O52" t="s">
        <v>1054</v>
      </c>
      <c r="P52" s="4">
        <f>[2]Sheet1!K52</f>
        <v>0.79</v>
      </c>
    </row>
    <row r="53" spans="1:16" x14ac:dyDescent="0.35">
      <c r="A53" t="s">
        <v>102</v>
      </c>
      <c r="B53" t="str">
        <f>TRIM([1]Sheet1!AD53)</f>
        <v>Don Scott</v>
      </c>
      <c r="C53" t="str">
        <f>IF(UPPER(LEFT([1]Sheet1!W53,1))="F","FEMALE","MALE")</f>
        <v>MALE</v>
      </c>
      <c r="D53">
        <v>31</v>
      </c>
      <c r="E53" t="s">
        <v>74</v>
      </c>
      <c r="F53" t="s">
        <v>74</v>
      </c>
      <c r="G53" t="s">
        <v>75</v>
      </c>
      <c r="H53" t="s">
        <v>27</v>
      </c>
      <c r="I53" s="1">
        <v>8</v>
      </c>
      <c r="J53" s="1" t="str">
        <f t="shared" si="0"/>
        <v>5-10</v>
      </c>
      <c r="K53" s="1">
        <v>3.4</v>
      </c>
      <c r="L53" s="1">
        <v>50</v>
      </c>
      <c r="M53" s="1">
        <f t="shared" si="1"/>
        <v>50</v>
      </c>
      <c r="N53" s="1">
        <f t="shared" si="10"/>
        <v>50</v>
      </c>
      <c r="O53" t="s">
        <v>1053</v>
      </c>
    </row>
    <row r="54" spans="1:16" x14ac:dyDescent="0.35">
      <c r="A54" t="s">
        <v>103</v>
      </c>
      <c r="B54" t="str">
        <f>TRIM([1]Sheet1!AD54)</f>
        <v>Kyle Atkinson</v>
      </c>
      <c r="C54" t="str">
        <f>IF(UPPER(LEFT([1]Sheet1!W54,1))="F","FEMALE","MALE")</f>
        <v>MALE</v>
      </c>
      <c r="D54">
        <v>51</v>
      </c>
      <c r="E54" t="s">
        <v>14</v>
      </c>
      <c r="F54" t="s">
        <v>14</v>
      </c>
      <c r="G54" t="s">
        <v>15</v>
      </c>
      <c r="H54" t="s">
        <v>62</v>
      </c>
      <c r="I54" s="1">
        <v>33</v>
      </c>
      <c r="J54" s="1" t="str">
        <f t="shared" si="0"/>
        <v>31+</v>
      </c>
      <c r="K54" s="1">
        <v>3.3</v>
      </c>
      <c r="L54" s="1">
        <v>75</v>
      </c>
      <c r="M54" s="1">
        <f t="shared" si="1"/>
        <v>75</v>
      </c>
      <c r="N54" s="1">
        <f t="shared" si="10"/>
        <v>75</v>
      </c>
      <c r="P54" s="4">
        <f>[2]Sheet1!K54</f>
        <v>0.68</v>
      </c>
    </row>
    <row r="55" spans="1:16" x14ac:dyDescent="0.35">
      <c r="A55" t="s">
        <v>104</v>
      </c>
      <c r="B55" t="str">
        <f>TRIM([1]Sheet1!AD55)</f>
        <v>Jimmy Hogan</v>
      </c>
      <c r="C55" t="str">
        <f>IF(UPPER(LEFT([1]Sheet1!W55,1))="F","FEMALE","MALE")</f>
        <v>MALE</v>
      </c>
      <c r="E55" t="s">
        <v>105</v>
      </c>
      <c r="F55" t="s">
        <v>105</v>
      </c>
      <c r="G55" t="s">
        <v>38</v>
      </c>
      <c r="H55" t="s">
        <v>39</v>
      </c>
      <c r="I55" s="1">
        <v>1</v>
      </c>
      <c r="J55" s="1" t="str">
        <f t="shared" si="0"/>
        <v>0-5</v>
      </c>
      <c r="K55" s="1">
        <v>0</v>
      </c>
      <c r="L55" s="1">
        <v>30</v>
      </c>
      <c r="M55" s="1">
        <f t="shared" si="1"/>
        <v>30</v>
      </c>
      <c r="N55" s="1">
        <f t="shared" si="10"/>
        <v>30</v>
      </c>
      <c r="O55" t="s">
        <v>1053</v>
      </c>
      <c r="P55" s="4">
        <f>[2]Sheet1!K55</f>
        <v>0.68</v>
      </c>
    </row>
    <row r="56" spans="1:16" x14ac:dyDescent="0.35">
      <c r="A56" t="s">
        <v>106</v>
      </c>
      <c r="B56" t="str">
        <f>TRIM([1]Sheet1!AD56)</f>
        <v>Jennifer Mcintyre</v>
      </c>
      <c r="C56" t="str">
        <f>IF(UPPER(LEFT([1]Sheet1!W56,1))="F","FEMALE","MALE")</f>
        <v>FEMALE</v>
      </c>
      <c r="D56">
        <v>29</v>
      </c>
      <c r="E56" t="s">
        <v>32</v>
      </c>
      <c r="F56" t="s">
        <v>32</v>
      </c>
      <c r="G56" t="s">
        <v>33</v>
      </c>
      <c r="H56" t="s">
        <v>41</v>
      </c>
      <c r="I56" s="1">
        <v>11</v>
      </c>
      <c r="J56" s="1" t="str">
        <f t="shared" si="0"/>
        <v>11-16</v>
      </c>
      <c r="K56" s="1">
        <v>2.2999999999999998</v>
      </c>
      <c r="L56" s="1">
        <v>100</v>
      </c>
      <c r="M56" s="1">
        <f t="shared" si="1"/>
        <v>100</v>
      </c>
      <c r="N56" s="1">
        <f t="shared" si="10"/>
        <v>100</v>
      </c>
      <c r="O56" t="s">
        <v>1054</v>
      </c>
      <c r="P56" s="4">
        <f>[2]Sheet1!K56</f>
        <v>0.72</v>
      </c>
    </row>
    <row r="57" spans="1:16" x14ac:dyDescent="0.35">
      <c r="A57" t="s">
        <v>107</v>
      </c>
      <c r="B57" t="str">
        <f>TRIM([1]Sheet1!AD57)</f>
        <v>Larry Simpson</v>
      </c>
      <c r="C57" t="str">
        <f>IF(UPPER(LEFT([1]Sheet1!W57,1))="F","FEMALE","MALE")</f>
        <v>MALE</v>
      </c>
      <c r="D57">
        <v>50</v>
      </c>
      <c r="E57" t="s">
        <v>35</v>
      </c>
      <c r="F57" t="s">
        <v>35</v>
      </c>
      <c r="G57" t="s">
        <v>11</v>
      </c>
      <c r="H57" t="s">
        <v>23</v>
      </c>
      <c r="I57" s="1">
        <v>15</v>
      </c>
      <c r="J57" s="1" t="str">
        <f t="shared" si="0"/>
        <v>11-16</v>
      </c>
      <c r="K57" s="1">
        <v>2</v>
      </c>
      <c r="M57" s="1">
        <f t="shared" si="1"/>
        <v>0</v>
      </c>
      <c r="N57" s="1">
        <f t="shared" si="10"/>
        <v>0</v>
      </c>
      <c r="O57" t="s">
        <v>1054</v>
      </c>
      <c r="P57" s="4">
        <f>[2]Sheet1!K57</f>
        <v>0.65</v>
      </c>
    </row>
    <row r="58" spans="1:16" x14ac:dyDescent="0.35">
      <c r="A58" t="s">
        <v>108</v>
      </c>
      <c r="B58" t="str">
        <f>TRIM([1]Sheet1!AD58)</f>
        <v>Laura Price</v>
      </c>
      <c r="C58" t="str">
        <f>IF(UPPER(LEFT([1]Sheet1!W58,1))="F","FEMALE","MALE")</f>
        <v>FEMALE</v>
      </c>
      <c r="D58">
        <v>26</v>
      </c>
      <c r="E58" t="s">
        <v>35</v>
      </c>
      <c r="F58" t="s">
        <v>35</v>
      </c>
      <c r="G58" t="s">
        <v>11</v>
      </c>
      <c r="H58" t="s">
        <v>48</v>
      </c>
      <c r="I58" s="1">
        <v>8</v>
      </c>
      <c r="J58" s="1" t="str">
        <f t="shared" si="0"/>
        <v>5-10</v>
      </c>
      <c r="K58" s="1">
        <v>1.3</v>
      </c>
      <c r="L58" s="1">
        <v>50</v>
      </c>
      <c r="M58" s="1">
        <f t="shared" si="1"/>
        <v>50</v>
      </c>
      <c r="N58" s="1">
        <f t="shared" si="10"/>
        <v>50</v>
      </c>
      <c r="O58" t="s">
        <v>1053</v>
      </c>
      <c r="P58" s="4">
        <f>[2]Sheet1!K58</f>
        <v>0.76</v>
      </c>
    </row>
    <row r="59" spans="1:16" x14ac:dyDescent="0.35">
      <c r="A59" t="s">
        <v>109</v>
      </c>
      <c r="B59" t="str">
        <f>TRIM([1]Sheet1!AD59)</f>
        <v>Mark Wright</v>
      </c>
      <c r="C59" t="str">
        <f>IF(UPPER(LEFT([1]Sheet1!W59,1))="F","FEMALE","MALE")</f>
        <v>MALE</v>
      </c>
      <c r="D59">
        <v>38</v>
      </c>
      <c r="E59" t="s">
        <v>70</v>
      </c>
      <c r="F59" t="s">
        <v>70</v>
      </c>
      <c r="G59" t="s">
        <v>11</v>
      </c>
      <c r="H59" t="s">
        <v>23</v>
      </c>
      <c r="I59" s="1">
        <v>17</v>
      </c>
      <c r="J59" s="1" t="str">
        <f t="shared" si="0"/>
        <v xml:space="preserve"> 16-20</v>
      </c>
      <c r="K59" s="1">
        <v>4</v>
      </c>
      <c r="L59" s="1" t="s">
        <v>1064</v>
      </c>
      <c r="M59" s="1" t="str">
        <f t="shared" si="1"/>
        <v>USD 40</v>
      </c>
      <c r="N59" s="1">
        <v>40</v>
      </c>
      <c r="O59" t="s">
        <v>1054</v>
      </c>
      <c r="P59" s="4">
        <f>[2]Sheet1!K59</f>
        <v>0.9</v>
      </c>
    </row>
    <row r="60" spans="1:16" x14ac:dyDescent="0.35">
      <c r="A60" t="s">
        <v>110</v>
      </c>
      <c r="B60" t="str">
        <f>TRIM([1]Sheet1!AD60)</f>
        <v>Samantha Mcdaniel</v>
      </c>
      <c r="C60" t="str">
        <f>IF(UPPER(LEFT([1]Sheet1!W60,1))="F","FEMALE","MALE")</f>
        <v>FEMALE</v>
      </c>
      <c r="D60">
        <v>23</v>
      </c>
      <c r="E60" t="s">
        <v>50</v>
      </c>
      <c r="F60" t="s">
        <v>50</v>
      </c>
      <c r="G60" t="s">
        <v>51</v>
      </c>
      <c r="H60" t="s">
        <v>12</v>
      </c>
      <c r="J60" s="1" t="str">
        <f t="shared" si="0"/>
        <v>0-5</v>
      </c>
      <c r="K60" s="1">
        <v>3.6</v>
      </c>
      <c r="L60" s="1">
        <v>75</v>
      </c>
      <c r="M60" s="1">
        <f t="shared" si="1"/>
        <v>75</v>
      </c>
      <c r="N60" s="1">
        <f t="shared" ref="N60:N64" si="11">M60</f>
        <v>75</v>
      </c>
      <c r="O60" t="s">
        <v>1054</v>
      </c>
      <c r="P60" s="4">
        <f>[2]Sheet1!K60</f>
        <v>0.65</v>
      </c>
    </row>
    <row r="61" spans="1:16" x14ac:dyDescent="0.35">
      <c r="A61" t="s">
        <v>111</v>
      </c>
      <c r="B61" t="str">
        <f>TRIM([1]Sheet1!AD61)</f>
        <v>Barbara Foster</v>
      </c>
      <c r="C61" t="str">
        <f>IF(UPPER(LEFT([1]Sheet1!W61,1))="F","FEMALE","MALE")</f>
        <v>FEMALE</v>
      </c>
      <c r="D61">
        <v>51</v>
      </c>
      <c r="E61" t="s">
        <v>85</v>
      </c>
      <c r="F61" t="s">
        <v>85</v>
      </c>
      <c r="G61" t="s">
        <v>86</v>
      </c>
      <c r="H61" t="s">
        <v>48</v>
      </c>
      <c r="I61" s="1">
        <v>28</v>
      </c>
      <c r="J61" s="1" t="str">
        <f t="shared" si="0"/>
        <v>26-30</v>
      </c>
      <c r="K61" s="1">
        <v>3.9</v>
      </c>
      <c r="L61" s="1">
        <v>40</v>
      </c>
      <c r="M61" s="1">
        <f t="shared" si="1"/>
        <v>40</v>
      </c>
      <c r="N61" s="1">
        <f t="shared" si="11"/>
        <v>40</v>
      </c>
      <c r="O61" t="s">
        <v>1053</v>
      </c>
      <c r="P61" s="4">
        <f>[2]Sheet1!K61</f>
        <v>0.63</v>
      </c>
    </row>
    <row r="62" spans="1:16" x14ac:dyDescent="0.35">
      <c r="A62" t="s">
        <v>112</v>
      </c>
      <c r="B62" t="str">
        <f>TRIM([1]Sheet1!AD62)</f>
        <v>Courtney Tran</v>
      </c>
      <c r="C62" t="str">
        <f>IF(UPPER(LEFT([1]Sheet1!W62,1))="F","FEMALE","MALE")</f>
        <v>FEMALE</v>
      </c>
      <c r="D62">
        <v>51</v>
      </c>
      <c r="E62" t="s">
        <v>25</v>
      </c>
      <c r="F62" t="s">
        <v>25</v>
      </c>
      <c r="G62" t="s">
        <v>26</v>
      </c>
      <c r="H62" t="s">
        <v>23</v>
      </c>
      <c r="I62" s="1">
        <v>33</v>
      </c>
      <c r="J62" s="1" t="str">
        <f t="shared" si="0"/>
        <v>31+</v>
      </c>
      <c r="K62" s="1">
        <v>0</v>
      </c>
      <c r="L62" s="2">
        <v>75</v>
      </c>
      <c r="M62" s="1">
        <f t="shared" si="1"/>
        <v>75</v>
      </c>
      <c r="N62" s="1">
        <f t="shared" si="11"/>
        <v>75</v>
      </c>
      <c r="O62" t="s">
        <v>1054</v>
      </c>
    </row>
    <row r="63" spans="1:16" x14ac:dyDescent="0.35">
      <c r="A63" t="s">
        <v>113</v>
      </c>
      <c r="B63" t="str">
        <f>TRIM([1]Sheet1!AD63)</f>
        <v>Eddie Todd</v>
      </c>
      <c r="C63" t="str">
        <f>IF(UPPER(LEFT([1]Sheet1!W63,1))="F","FEMALE","MALE")</f>
        <v>MALE</v>
      </c>
      <c r="D63">
        <v>47</v>
      </c>
      <c r="E63" t="s">
        <v>14</v>
      </c>
      <c r="F63" t="s">
        <v>14</v>
      </c>
      <c r="G63" t="s">
        <v>15</v>
      </c>
      <c r="H63" t="s">
        <v>23</v>
      </c>
      <c r="I63" s="1">
        <v>18</v>
      </c>
      <c r="J63" s="1" t="str">
        <f t="shared" si="0"/>
        <v xml:space="preserve"> 16-20</v>
      </c>
      <c r="K63" s="1">
        <v>0</v>
      </c>
      <c r="L63" s="1">
        <v>75</v>
      </c>
      <c r="M63" s="1">
        <f t="shared" si="1"/>
        <v>75</v>
      </c>
      <c r="N63" s="1">
        <f t="shared" si="11"/>
        <v>75</v>
      </c>
      <c r="O63" t="s">
        <v>1053</v>
      </c>
    </row>
    <row r="64" spans="1:16" x14ac:dyDescent="0.35">
      <c r="A64" t="s">
        <v>114</v>
      </c>
      <c r="B64" t="str">
        <f>TRIM([1]Sheet1!AD64)</f>
        <v>Christine Johnson</v>
      </c>
      <c r="C64" t="str">
        <f>IF(UPPER(LEFT([1]Sheet1!W64,1))="F","FEMALE","MALE")</f>
        <v>FEMALE</v>
      </c>
      <c r="D64">
        <v>34</v>
      </c>
      <c r="E64" t="s">
        <v>67</v>
      </c>
      <c r="F64" t="s">
        <v>67</v>
      </c>
      <c r="G64" t="s">
        <v>68</v>
      </c>
      <c r="H64" t="s">
        <v>39</v>
      </c>
      <c r="I64" s="1">
        <v>16</v>
      </c>
      <c r="J64" s="1" t="str">
        <f t="shared" si="0"/>
        <v>11-16</v>
      </c>
      <c r="K64" s="1">
        <v>2.2999999999999998</v>
      </c>
      <c r="L64" s="2">
        <v>20</v>
      </c>
      <c r="M64" s="1">
        <f t="shared" si="1"/>
        <v>20</v>
      </c>
      <c r="N64" s="1">
        <f t="shared" si="11"/>
        <v>20</v>
      </c>
      <c r="O64" t="s">
        <v>1054</v>
      </c>
      <c r="P64" s="4">
        <f>[2]Sheet1!K64</f>
        <v>0.93</v>
      </c>
    </row>
    <row r="65" spans="1:16" x14ac:dyDescent="0.35">
      <c r="A65" t="s">
        <v>115</v>
      </c>
      <c r="B65" t="str">
        <f>TRIM([1]Sheet1!AD65)</f>
        <v>Leah Phelps</v>
      </c>
      <c r="C65" t="str">
        <f>IF(UPPER(LEFT([1]Sheet1!W65,1))="F","FEMALE","MALE")</f>
        <v>FEMALE</v>
      </c>
      <c r="D65">
        <v>58</v>
      </c>
      <c r="E65" t="s">
        <v>25</v>
      </c>
      <c r="F65" t="s">
        <v>25</v>
      </c>
      <c r="G65" t="s">
        <v>26</v>
      </c>
      <c r="H65" t="s">
        <v>27</v>
      </c>
      <c r="I65" s="1">
        <v>35</v>
      </c>
      <c r="J65" s="1" t="str">
        <f t="shared" si="0"/>
        <v>31+</v>
      </c>
      <c r="K65" s="1">
        <v>4.7</v>
      </c>
      <c r="L65" s="1" t="s">
        <v>1065</v>
      </c>
      <c r="M65" s="1" t="str">
        <f t="shared" si="1"/>
        <v>USD 50</v>
      </c>
      <c r="N65" s="1">
        <v>50</v>
      </c>
      <c r="O65" t="s">
        <v>1053</v>
      </c>
      <c r="P65" s="4">
        <f>[2]Sheet1!K65</f>
        <v>0.7</v>
      </c>
    </row>
    <row r="66" spans="1:16" x14ac:dyDescent="0.35">
      <c r="A66" t="s">
        <v>116</v>
      </c>
      <c r="B66" t="str">
        <f>TRIM([1]Sheet1!AD66)</f>
        <v>Rebekah Williams</v>
      </c>
      <c r="C66" t="str">
        <f>IF(UPPER(LEFT([1]Sheet1!W66,1))="F","FEMALE","MALE")</f>
        <v>FEMALE</v>
      </c>
      <c r="D66">
        <v>50</v>
      </c>
      <c r="E66" t="s">
        <v>67</v>
      </c>
      <c r="F66" t="s">
        <v>67</v>
      </c>
      <c r="G66" t="s">
        <v>68</v>
      </c>
      <c r="H66" t="s">
        <v>23</v>
      </c>
      <c r="I66" s="1">
        <v>14</v>
      </c>
      <c r="J66" s="1" t="str">
        <f t="shared" ref="J66:J129" si="12">_xlfn.IFS(I66&lt;=5,"0-5",I66&lt;=10,"5-10",I66&lt;=16,"11-16",I66&lt;=20," 16-20",I66&lt;=25,"21- 25",I66&lt;=30,"26-30",I66&gt;30,"31+")</f>
        <v>11-16</v>
      </c>
      <c r="K66" s="1">
        <v>3.5</v>
      </c>
      <c r="M66" s="1">
        <f t="shared" si="1"/>
        <v>0</v>
      </c>
      <c r="N66" s="1">
        <f t="shared" ref="N66:N67" si="13">M66</f>
        <v>0</v>
      </c>
      <c r="O66" t="s">
        <v>1054</v>
      </c>
      <c r="P66" s="4">
        <f>[2]Sheet1!K66</f>
        <v>0.83</v>
      </c>
    </row>
    <row r="67" spans="1:16" x14ac:dyDescent="0.35">
      <c r="A67" t="s">
        <v>117</v>
      </c>
      <c r="B67" t="str">
        <f>TRIM([1]Sheet1!AD67)</f>
        <v>Crystal Wilson</v>
      </c>
      <c r="C67" t="str">
        <f>IF(UPPER(LEFT([1]Sheet1!W67,1))="F","FEMALE","MALE")</f>
        <v>FEMALE</v>
      </c>
      <c r="D67">
        <v>34</v>
      </c>
      <c r="E67" t="s">
        <v>105</v>
      </c>
      <c r="F67" t="s">
        <v>105</v>
      </c>
      <c r="G67" t="s">
        <v>38</v>
      </c>
      <c r="H67" t="s">
        <v>18</v>
      </c>
      <c r="I67" s="1">
        <v>12</v>
      </c>
      <c r="J67" s="1" t="str">
        <f t="shared" si="12"/>
        <v>11-16</v>
      </c>
      <c r="K67" s="1">
        <v>2.4</v>
      </c>
      <c r="L67" s="1">
        <v>40</v>
      </c>
      <c r="M67" s="1">
        <f t="shared" ref="M67:M130" si="14">L67</f>
        <v>40</v>
      </c>
      <c r="N67" s="1">
        <f t="shared" si="13"/>
        <v>40</v>
      </c>
      <c r="O67" t="s">
        <v>1054</v>
      </c>
      <c r="P67" s="3">
        <f>[2]Sheet1!K67/100</f>
        <v>0.64</v>
      </c>
    </row>
    <row r="68" spans="1:16" x14ac:dyDescent="0.35">
      <c r="A68" t="s">
        <v>118</v>
      </c>
      <c r="B68" t="str">
        <f>TRIM([1]Sheet1!AD68)</f>
        <v>Ashley Cordova</v>
      </c>
      <c r="C68" t="str">
        <f>IF(UPPER(LEFT([1]Sheet1!W68,1))="F","FEMALE","MALE")</f>
        <v>FEMALE</v>
      </c>
      <c r="D68">
        <v>45</v>
      </c>
      <c r="E68" t="s">
        <v>57</v>
      </c>
      <c r="F68" t="s">
        <v>57</v>
      </c>
      <c r="G68" t="s">
        <v>58</v>
      </c>
      <c r="H68" t="s">
        <v>23</v>
      </c>
      <c r="I68" s="1">
        <v>11</v>
      </c>
      <c r="J68" s="1" t="str">
        <f t="shared" si="12"/>
        <v>11-16</v>
      </c>
      <c r="K68" s="1">
        <v>4</v>
      </c>
      <c r="L68" s="1" t="s">
        <v>1063</v>
      </c>
      <c r="M68" s="1" t="str">
        <f t="shared" si="14"/>
        <v>USD 75</v>
      </c>
      <c r="N68" s="1">
        <v>75</v>
      </c>
      <c r="O68" t="s">
        <v>1053</v>
      </c>
      <c r="P68" s="4">
        <f>[2]Sheet1!K68</f>
        <v>1</v>
      </c>
    </row>
    <row r="69" spans="1:16" x14ac:dyDescent="0.35">
      <c r="A69" t="s">
        <v>119</v>
      </c>
      <c r="B69" t="str">
        <f>TRIM([1]Sheet1!AD69)</f>
        <v>Vicki Kelly</v>
      </c>
      <c r="C69" t="str">
        <f>IF(UPPER(LEFT([1]Sheet1!W69,1))="F","FEMALE","MALE")</f>
        <v>FEMALE</v>
      </c>
      <c r="D69">
        <v>55</v>
      </c>
      <c r="E69" t="s">
        <v>57</v>
      </c>
      <c r="F69" t="s">
        <v>57</v>
      </c>
      <c r="G69" t="s">
        <v>58</v>
      </c>
      <c r="H69" t="s">
        <v>18</v>
      </c>
      <c r="I69" s="1">
        <v>0</v>
      </c>
      <c r="J69" s="1" t="str">
        <f t="shared" si="12"/>
        <v>0-5</v>
      </c>
      <c r="K69" s="1">
        <v>0</v>
      </c>
      <c r="L69" s="2">
        <v>40</v>
      </c>
      <c r="M69" s="1">
        <f t="shared" si="14"/>
        <v>40</v>
      </c>
      <c r="N69" s="1">
        <f t="shared" ref="N69:N72" si="15">M69</f>
        <v>40</v>
      </c>
      <c r="O69" t="s">
        <v>1054</v>
      </c>
    </row>
    <row r="70" spans="1:16" x14ac:dyDescent="0.35">
      <c r="A70" t="s">
        <v>120</v>
      </c>
      <c r="B70" t="str">
        <f>TRIM([1]Sheet1!AD70)</f>
        <v>Corey Warren</v>
      </c>
      <c r="C70" t="str">
        <f>IF(UPPER(LEFT([1]Sheet1!W70,1))="F","FEMALE","MALE")</f>
        <v>MALE</v>
      </c>
      <c r="E70" t="s">
        <v>37</v>
      </c>
      <c r="F70" t="s">
        <v>37</v>
      </c>
      <c r="G70" t="s">
        <v>38</v>
      </c>
      <c r="H70" t="s">
        <v>39</v>
      </c>
      <c r="I70" s="1">
        <v>6</v>
      </c>
      <c r="J70" s="1" t="str">
        <f t="shared" si="12"/>
        <v>5-10</v>
      </c>
      <c r="K70" s="1">
        <v>1.5</v>
      </c>
      <c r="L70" s="1">
        <v>100</v>
      </c>
      <c r="M70" s="1">
        <f t="shared" si="14"/>
        <v>100</v>
      </c>
      <c r="N70" s="1">
        <f t="shared" si="15"/>
        <v>100</v>
      </c>
      <c r="O70" t="s">
        <v>1053</v>
      </c>
    </row>
    <row r="71" spans="1:16" x14ac:dyDescent="0.35">
      <c r="A71" t="s">
        <v>121</v>
      </c>
      <c r="B71" t="str">
        <f>TRIM([1]Sheet1!AD71)</f>
        <v>Gina Thompson</v>
      </c>
      <c r="C71" t="str">
        <f>IF(UPPER(LEFT([1]Sheet1!W71,1))="F","FEMALE","MALE")</f>
        <v>FEMALE</v>
      </c>
      <c r="D71">
        <v>60</v>
      </c>
      <c r="E71" t="s">
        <v>96</v>
      </c>
      <c r="F71" t="s">
        <v>96</v>
      </c>
      <c r="G71" t="s">
        <v>97</v>
      </c>
      <c r="H71" t="s">
        <v>39</v>
      </c>
      <c r="I71" s="1">
        <v>38</v>
      </c>
      <c r="J71" s="1" t="str">
        <f t="shared" si="12"/>
        <v>31+</v>
      </c>
      <c r="K71" s="1">
        <v>2</v>
      </c>
      <c r="L71" s="2">
        <v>20</v>
      </c>
      <c r="M71" s="1">
        <f t="shared" si="14"/>
        <v>20</v>
      </c>
      <c r="N71" s="1">
        <f t="shared" si="15"/>
        <v>20</v>
      </c>
      <c r="O71" t="s">
        <v>1053</v>
      </c>
      <c r="P71" s="4">
        <f>[2]Sheet1!K71</f>
        <v>0.71</v>
      </c>
    </row>
    <row r="72" spans="1:16" x14ac:dyDescent="0.35">
      <c r="A72" t="s">
        <v>122</v>
      </c>
      <c r="B72" t="str">
        <f>TRIM([1]Sheet1!AD72)</f>
        <v>Yvonne Berg</v>
      </c>
      <c r="C72" t="str">
        <f>IF(UPPER(LEFT([1]Sheet1!W72,1))="F","FEMALE","MALE")</f>
        <v>FEMALE</v>
      </c>
      <c r="D72">
        <v>33</v>
      </c>
      <c r="E72" t="s">
        <v>85</v>
      </c>
      <c r="F72" t="s">
        <v>85</v>
      </c>
      <c r="G72" t="s">
        <v>86</v>
      </c>
      <c r="H72" t="s">
        <v>12</v>
      </c>
      <c r="I72" s="1">
        <v>11</v>
      </c>
      <c r="J72" s="1" t="str">
        <f t="shared" si="12"/>
        <v>11-16</v>
      </c>
      <c r="M72" s="1">
        <f t="shared" si="14"/>
        <v>0</v>
      </c>
      <c r="N72" s="1">
        <f t="shared" si="15"/>
        <v>0</v>
      </c>
      <c r="O72" t="s">
        <v>1054</v>
      </c>
      <c r="P72" s="4">
        <f>[2]Sheet1!K72</f>
        <v>0.84</v>
      </c>
    </row>
    <row r="73" spans="1:16" x14ac:dyDescent="0.35">
      <c r="A73" t="s">
        <v>123</v>
      </c>
      <c r="B73" t="str">
        <f>TRIM([1]Sheet1!AD73)</f>
        <v>Thomas Miller</v>
      </c>
      <c r="C73" t="str">
        <f>IF(UPPER(LEFT([1]Sheet1!W73,1))="F","FEMALE","MALE")</f>
        <v>MALE</v>
      </c>
      <c r="D73">
        <v>60</v>
      </c>
      <c r="E73" t="s">
        <v>6</v>
      </c>
      <c r="F73" t="s">
        <v>6</v>
      </c>
      <c r="G73" t="s">
        <v>7</v>
      </c>
      <c r="H73" t="s">
        <v>48</v>
      </c>
      <c r="I73" s="1">
        <v>13</v>
      </c>
      <c r="J73" s="1" t="str">
        <f t="shared" si="12"/>
        <v>11-16</v>
      </c>
      <c r="K73" s="1">
        <v>1</v>
      </c>
      <c r="L73" s="1" t="s">
        <v>1065</v>
      </c>
      <c r="M73" s="1" t="str">
        <f t="shared" si="14"/>
        <v>USD 50</v>
      </c>
      <c r="N73" s="1">
        <v>50</v>
      </c>
      <c r="O73" t="s">
        <v>1053</v>
      </c>
    </row>
    <row r="74" spans="1:16" x14ac:dyDescent="0.35">
      <c r="A74" t="s">
        <v>124</v>
      </c>
      <c r="B74" t="str">
        <f>TRIM([1]Sheet1!AD74)</f>
        <v>Nicholas Burton</v>
      </c>
      <c r="C74" t="str">
        <f>IF(UPPER(LEFT([1]Sheet1!W74,1))="F","FEMALE","MALE")</f>
        <v>MALE</v>
      </c>
      <c r="D74">
        <v>40</v>
      </c>
      <c r="E74" t="s">
        <v>30</v>
      </c>
      <c r="F74" t="s">
        <v>30</v>
      </c>
      <c r="G74" t="s">
        <v>11</v>
      </c>
      <c r="H74" t="s">
        <v>18</v>
      </c>
      <c r="I74" s="1">
        <v>9</v>
      </c>
      <c r="J74" s="1" t="str">
        <f t="shared" si="12"/>
        <v>5-10</v>
      </c>
      <c r="K74" s="1">
        <v>4.5</v>
      </c>
      <c r="L74" s="2">
        <v>100</v>
      </c>
      <c r="M74" s="1">
        <f t="shared" si="14"/>
        <v>100</v>
      </c>
      <c r="N74" s="1">
        <f t="shared" ref="N74:N77" si="16">M74</f>
        <v>100</v>
      </c>
      <c r="O74" t="s">
        <v>1054</v>
      </c>
      <c r="P74" s="4">
        <f>[2]Sheet1!K74</f>
        <v>0.69</v>
      </c>
    </row>
    <row r="75" spans="1:16" x14ac:dyDescent="0.35">
      <c r="A75" t="s">
        <v>125</v>
      </c>
      <c r="B75" t="str">
        <f>TRIM([1]Sheet1!AD75)</f>
        <v>Jorge Riley</v>
      </c>
      <c r="C75" t="str">
        <f>IF(UPPER(LEFT([1]Sheet1!W75,1))="F","FEMALE","MALE")</f>
        <v>MALE</v>
      </c>
      <c r="D75">
        <v>59</v>
      </c>
      <c r="E75" t="s">
        <v>10</v>
      </c>
      <c r="F75" t="s">
        <v>10</v>
      </c>
      <c r="G75" t="s">
        <v>11</v>
      </c>
      <c r="H75" t="s">
        <v>8</v>
      </c>
      <c r="I75" s="1">
        <v>4</v>
      </c>
      <c r="J75" s="1" t="str">
        <f t="shared" si="12"/>
        <v>0-5</v>
      </c>
      <c r="K75" s="1">
        <v>1.9</v>
      </c>
      <c r="M75" s="1">
        <f t="shared" si="14"/>
        <v>0</v>
      </c>
      <c r="N75" s="1">
        <f t="shared" si="16"/>
        <v>0</v>
      </c>
      <c r="O75" t="s">
        <v>1053</v>
      </c>
      <c r="P75" s="3">
        <f>[2]Sheet1!K75/100</f>
        <v>0.88</v>
      </c>
    </row>
    <row r="76" spans="1:16" x14ac:dyDescent="0.35">
      <c r="A76" t="s">
        <v>126</v>
      </c>
      <c r="B76" t="str">
        <f>TRIM([1]Sheet1!AD76)</f>
        <v>Melvin Harris</v>
      </c>
      <c r="C76" t="str">
        <f>IF(UPPER(LEFT([1]Sheet1!W76,1))="F","FEMALE","MALE")</f>
        <v>MALE</v>
      </c>
      <c r="D76">
        <v>36</v>
      </c>
      <c r="E76" t="s">
        <v>6</v>
      </c>
      <c r="F76" t="s">
        <v>6</v>
      </c>
      <c r="G76" t="s">
        <v>7</v>
      </c>
      <c r="H76" t="s">
        <v>62</v>
      </c>
      <c r="I76" s="1">
        <v>14</v>
      </c>
      <c r="J76" s="1" t="str">
        <f t="shared" si="12"/>
        <v>11-16</v>
      </c>
      <c r="K76" s="1">
        <v>3.7</v>
      </c>
      <c r="L76" s="2">
        <v>100</v>
      </c>
      <c r="M76" s="1">
        <f t="shared" si="14"/>
        <v>100</v>
      </c>
      <c r="N76" s="1">
        <f t="shared" si="16"/>
        <v>100</v>
      </c>
      <c r="O76" t="s">
        <v>1053</v>
      </c>
    </row>
    <row r="77" spans="1:16" x14ac:dyDescent="0.35">
      <c r="A77" t="s">
        <v>127</v>
      </c>
      <c r="B77" t="str">
        <f>TRIM([1]Sheet1!AD77)</f>
        <v>Jeremy Meyer</v>
      </c>
      <c r="C77" t="str">
        <f>IF(UPPER(LEFT([1]Sheet1!W77,1))="F","FEMALE","MALE")</f>
        <v>MALE</v>
      </c>
      <c r="D77">
        <v>32</v>
      </c>
      <c r="E77" t="s">
        <v>50</v>
      </c>
      <c r="F77" t="s">
        <v>50</v>
      </c>
      <c r="G77" t="s">
        <v>51</v>
      </c>
      <c r="H77" t="s">
        <v>27</v>
      </c>
      <c r="J77" s="1" t="str">
        <f t="shared" si="12"/>
        <v>0-5</v>
      </c>
      <c r="K77" s="1">
        <v>1.9</v>
      </c>
      <c r="L77" s="1">
        <v>30</v>
      </c>
      <c r="M77" s="1">
        <f t="shared" si="14"/>
        <v>30</v>
      </c>
      <c r="N77" s="1">
        <f t="shared" si="16"/>
        <v>30</v>
      </c>
      <c r="O77" t="s">
        <v>1054</v>
      </c>
      <c r="P77" s="4">
        <f>[2]Sheet1!K77</f>
        <v>0.96</v>
      </c>
    </row>
    <row r="78" spans="1:16" x14ac:dyDescent="0.35">
      <c r="A78" t="s">
        <v>128</v>
      </c>
      <c r="B78" t="str">
        <f>TRIM([1]Sheet1!AD78)</f>
        <v>Timothy Lee</v>
      </c>
      <c r="C78" t="str">
        <f>IF(UPPER(LEFT([1]Sheet1!W78,1))="F","FEMALE","MALE")</f>
        <v>MALE</v>
      </c>
      <c r="D78">
        <v>59</v>
      </c>
      <c r="E78" t="s">
        <v>10</v>
      </c>
      <c r="F78" t="s">
        <v>10</v>
      </c>
      <c r="G78" t="s">
        <v>11</v>
      </c>
      <c r="H78" t="s">
        <v>23</v>
      </c>
      <c r="I78" s="1">
        <v>9</v>
      </c>
      <c r="J78" s="1" t="str">
        <f t="shared" si="12"/>
        <v>5-10</v>
      </c>
      <c r="K78" s="1">
        <v>4</v>
      </c>
      <c r="L78" s="1" t="s">
        <v>1063</v>
      </c>
      <c r="M78" s="1" t="str">
        <f t="shared" si="14"/>
        <v>USD 75</v>
      </c>
      <c r="N78" s="1">
        <v>75</v>
      </c>
      <c r="O78" t="s">
        <v>1054</v>
      </c>
      <c r="P78" s="3">
        <f>[2]Sheet1!K78/100</f>
        <v>0.96</v>
      </c>
    </row>
    <row r="79" spans="1:16" x14ac:dyDescent="0.35">
      <c r="A79" t="s">
        <v>129</v>
      </c>
      <c r="B79" t="str">
        <f>TRIM([1]Sheet1!AD79)</f>
        <v>Diana Bautista</v>
      </c>
      <c r="C79" t="str">
        <f>IF(UPPER(LEFT([1]Sheet1!W79,1))="F","FEMALE","MALE")</f>
        <v>FEMALE</v>
      </c>
      <c r="D79">
        <v>54</v>
      </c>
      <c r="E79" t="s">
        <v>105</v>
      </c>
      <c r="F79" t="s">
        <v>105</v>
      </c>
      <c r="G79" t="s">
        <v>38</v>
      </c>
      <c r="H79" t="s">
        <v>48</v>
      </c>
      <c r="I79" s="1">
        <v>32</v>
      </c>
      <c r="J79" s="1" t="str">
        <f t="shared" si="12"/>
        <v>31+</v>
      </c>
      <c r="K79" s="1">
        <v>1.8</v>
      </c>
      <c r="L79" s="1" t="s">
        <v>1064</v>
      </c>
      <c r="M79" s="1" t="str">
        <f t="shared" si="14"/>
        <v>USD 40</v>
      </c>
      <c r="N79" s="1">
        <v>40</v>
      </c>
      <c r="O79" t="s">
        <v>1053</v>
      </c>
    </row>
    <row r="80" spans="1:16" x14ac:dyDescent="0.35">
      <c r="A80" t="s">
        <v>130</v>
      </c>
      <c r="B80" t="str">
        <f>TRIM([1]Sheet1!AD80)</f>
        <v>Leslie Rodriguez</v>
      </c>
      <c r="C80" t="str">
        <f>IF(UPPER(LEFT([1]Sheet1!W80,1))="F","FEMALE","MALE")</f>
        <v>FEMALE</v>
      </c>
      <c r="D80">
        <v>37</v>
      </c>
      <c r="E80" t="s">
        <v>70</v>
      </c>
      <c r="F80" t="s">
        <v>70</v>
      </c>
      <c r="G80" t="s">
        <v>11</v>
      </c>
      <c r="H80" t="s">
        <v>16</v>
      </c>
      <c r="I80" s="1">
        <v>9</v>
      </c>
      <c r="J80" s="1" t="str">
        <f t="shared" si="12"/>
        <v>5-10</v>
      </c>
      <c r="K80" s="1">
        <v>0</v>
      </c>
      <c r="M80" s="1">
        <f t="shared" si="14"/>
        <v>0</v>
      </c>
      <c r="N80" s="1">
        <f t="shared" ref="N80:N82" si="17">M80</f>
        <v>0</v>
      </c>
      <c r="O80" t="s">
        <v>1054</v>
      </c>
      <c r="P80" s="4">
        <f>[2]Sheet1!K80</f>
        <v>0.89</v>
      </c>
    </row>
    <row r="81" spans="1:16" x14ac:dyDescent="0.35">
      <c r="A81" t="s">
        <v>131</v>
      </c>
      <c r="B81" t="str">
        <f>TRIM([1]Sheet1!AD81)</f>
        <v>Noah Wiggins</v>
      </c>
      <c r="C81" t="str">
        <f>IF(UPPER(LEFT([1]Sheet1!W81,1))="F","FEMALE","MALE")</f>
        <v>MALE</v>
      </c>
      <c r="D81">
        <v>54</v>
      </c>
      <c r="E81" t="s">
        <v>50</v>
      </c>
      <c r="F81" t="s">
        <v>50</v>
      </c>
      <c r="G81" t="s">
        <v>51</v>
      </c>
      <c r="H81" t="s">
        <v>62</v>
      </c>
      <c r="I81" s="1">
        <v>21</v>
      </c>
      <c r="J81" s="1" t="str">
        <f t="shared" si="12"/>
        <v>21- 25</v>
      </c>
      <c r="K81" s="1">
        <v>4.5999999999999996</v>
      </c>
      <c r="L81" s="2">
        <v>100</v>
      </c>
      <c r="M81" s="1">
        <f t="shared" si="14"/>
        <v>100</v>
      </c>
      <c r="N81" s="1">
        <f t="shared" si="17"/>
        <v>100</v>
      </c>
      <c r="O81" t="s">
        <v>1053</v>
      </c>
    </row>
    <row r="82" spans="1:16" x14ac:dyDescent="0.35">
      <c r="A82" t="s">
        <v>132</v>
      </c>
      <c r="B82" t="str">
        <f>TRIM([1]Sheet1!AD82)</f>
        <v>Bridget Williams</v>
      </c>
      <c r="C82" t="str">
        <f>IF(UPPER(LEFT([1]Sheet1!W82,1))="F","FEMALE","MALE")</f>
        <v>FEMALE</v>
      </c>
      <c r="D82">
        <v>33</v>
      </c>
      <c r="E82" t="s">
        <v>37</v>
      </c>
      <c r="F82" t="s">
        <v>37</v>
      </c>
      <c r="G82" t="s">
        <v>38</v>
      </c>
      <c r="H82" t="s">
        <v>39</v>
      </c>
      <c r="I82" s="1">
        <v>12</v>
      </c>
      <c r="J82" s="1" t="str">
        <f t="shared" si="12"/>
        <v>11-16</v>
      </c>
      <c r="K82" s="1">
        <v>3.6</v>
      </c>
      <c r="L82" s="1">
        <v>100</v>
      </c>
      <c r="M82" s="1">
        <f t="shared" si="14"/>
        <v>100</v>
      </c>
      <c r="N82" s="1">
        <f t="shared" si="17"/>
        <v>100</v>
      </c>
      <c r="O82" t="s">
        <v>1053</v>
      </c>
      <c r="P82" s="4">
        <f>[2]Sheet1!K82</f>
        <v>0.63</v>
      </c>
    </row>
    <row r="83" spans="1:16" x14ac:dyDescent="0.35">
      <c r="A83" t="s">
        <v>133</v>
      </c>
      <c r="B83" t="str">
        <f>TRIM([1]Sheet1!AD83)</f>
        <v>Veronica Baker</v>
      </c>
      <c r="C83" t="str">
        <f>IF(UPPER(LEFT([1]Sheet1!W83,1))="F","FEMALE","MALE")</f>
        <v>FEMALE</v>
      </c>
      <c r="D83">
        <v>25</v>
      </c>
      <c r="E83" t="s">
        <v>77</v>
      </c>
      <c r="F83" t="s">
        <v>77</v>
      </c>
      <c r="G83" t="s">
        <v>78</v>
      </c>
      <c r="H83" t="s">
        <v>18</v>
      </c>
      <c r="I83" s="1">
        <v>7</v>
      </c>
      <c r="J83" s="1" t="str">
        <f t="shared" si="12"/>
        <v>5-10</v>
      </c>
      <c r="K83" s="1">
        <v>4.4000000000000004</v>
      </c>
      <c r="L83" s="1" t="s">
        <v>1064</v>
      </c>
      <c r="M83" s="1" t="str">
        <f t="shared" si="14"/>
        <v>USD 40</v>
      </c>
      <c r="N83" s="1">
        <v>40</v>
      </c>
      <c r="P83" s="3">
        <f>[2]Sheet1!K83/100</f>
        <v>0.81</v>
      </c>
    </row>
    <row r="84" spans="1:16" x14ac:dyDescent="0.35">
      <c r="A84" t="s">
        <v>134</v>
      </c>
      <c r="B84" t="str">
        <f>TRIM([1]Sheet1!AD84)</f>
        <v>Andrew Avila</v>
      </c>
      <c r="C84" t="str">
        <f>IF(UPPER(LEFT([1]Sheet1!W84,1))="F","FEMALE","MALE")</f>
        <v>MALE</v>
      </c>
      <c r="E84" t="s">
        <v>96</v>
      </c>
      <c r="F84" t="s">
        <v>96</v>
      </c>
      <c r="G84" t="s">
        <v>97</v>
      </c>
      <c r="H84" t="s">
        <v>48</v>
      </c>
      <c r="I84" s="1">
        <v>3</v>
      </c>
      <c r="J84" s="1" t="str">
        <f t="shared" si="12"/>
        <v>0-5</v>
      </c>
      <c r="K84" s="1">
        <v>4.5999999999999996</v>
      </c>
      <c r="L84" s="1">
        <v>40</v>
      </c>
      <c r="M84" s="1">
        <f t="shared" si="14"/>
        <v>40</v>
      </c>
      <c r="N84" s="1">
        <f t="shared" ref="N84:N91" si="18">M84</f>
        <v>40</v>
      </c>
      <c r="O84" t="s">
        <v>1053</v>
      </c>
      <c r="P84" s="4">
        <f>[2]Sheet1!K84</f>
        <v>0.74</v>
      </c>
    </row>
    <row r="85" spans="1:16" x14ac:dyDescent="0.35">
      <c r="A85" t="s">
        <v>135</v>
      </c>
      <c r="B85" t="str">
        <f>TRIM([1]Sheet1!AD85)</f>
        <v>Michael Roberson</v>
      </c>
      <c r="C85" t="str">
        <f>IF(UPPER(LEFT([1]Sheet1!W85,1))="F","FEMALE","MALE")</f>
        <v>MALE</v>
      </c>
      <c r="D85">
        <v>35</v>
      </c>
      <c r="E85" t="s">
        <v>60</v>
      </c>
      <c r="F85" t="s">
        <v>60</v>
      </c>
      <c r="G85" t="s">
        <v>61</v>
      </c>
      <c r="H85" t="s">
        <v>18</v>
      </c>
      <c r="I85" s="1">
        <v>5</v>
      </c>
      <c r="J85" s="1" t="str">
        <f t="shared" si="12"/>
        <v>0-5</v>
      </c>
      <c r="K85" s="1">
        <v>3.2</v>
      </c>
      <c r="L85" s="2">
        <v>75</v>
      </c>
      <c r="M85" s="1">
        <f t="shared" si="14"/>
        <v>75</v>
      </c>
      <c r="N85" s="1">
        <f t="shared" si="18"/>
        <v>75</v>
      </c>
      <c r="O85" t="s">
        <v>1053</v>
      </c>
      <c r="P85" s="4">
        <f>[2]Sheet1!K85</f>
        <v>0.72</v>
      </c>
    </row>
    <row r="86" spans="1:16" x14ac:dyDescent="0.35">
      <c r="A86" t="s">
        <v>136</v>
      </c>
      <c r="B86" t="str">
        <f>TRIM([1]Sheet1!AD86)</f>
        <v>Austin Jenkins</v>
      </c>
      <c r="C86" t="str">
        <f>IF(UPPER(LEFT([1]Sheet1!W86,1))="F","FEMALE","MALE")</f>
        <v>MALE</v>
      </c>
      <c r="D86">
        <v>59</v>
      </c>
      <c r="E86" t="s">
        <v>60</v>
      </c>
      <c r="F86" t="s">
        <v>60</v>
      </c>
      <c r="G86" t="s">
        <v>61</v>
      </c>
      <c r="H86" t="s">
        <v>23</v>
      </c>
      <c r="I86" s="1">
        <v>30</v>
      </c>
      <c r="J86" s="1" t="str">
        <f t="shared" si="12"/>
        <v>26-30</v>
      </c>
      <c r="K86" s="1">
        <v>0</v>
      </c>
      <c r="L86" s="2">
        <v>40</v>
      </c>
      <c r="M86" s="1">
        <f t="shared" si="14"/>
        <v>40</v>
      </c>
      <c r="N86" s="1">
        <f t="shared" si="18"/>
        <v>40</v>
      </c>
      <c r="O86" t="s">
        <v>1054</v>
      </c>
    </row>
    <row r="87" spans="1:16" x14ac:dyDescent="0.35">
      <c r="A87" t="s">
        <v>137</v>
      </c>
      <c r="B87" t="str">
        <f>TRIM([1]Sheet1!AD87)</f>
        <v>Brenda Green</v>
      </c>
      <c r="C87" t="str">
        <f>IF(UPPER(LEFT([1]Sheet1!W87,1))="F","FEMALE","MALE")</f>
        <v>FEMALE</v>
      </c>
      <c r="D87">
        <v>21</v>
      </c>
      <c r="E87" t="s">
        <v>96</v>
      </c>
      <c r="F87" t="s">
        <v>96</v>
      </c>
      <c r="G87" t="s">
        <v>97</v>
      </c>
      <c r="H87" t="s">
        <v>48</v>
      </c>
      <c r="I87" s="1">
        <v>2</v>
      </c>
      <c r="J87" s="1" t="str">
        <f t="shared" si="12"/>
        <v>0-5</v>
      </c>
      <c r="K87" s="1">
        <v>2.6</v>
      </c>
      <c r="L87" s="1">
        <v>100</v>
      </c>
      <c r="M87" s="1">
        <f t="shared" si="14"/>
        <v>100</v>
      </c>
      <c r="N87" s="1">
        <f t="shared" si="18"/>
        <v>100</v>
      </c>
      <c r="O87" t="s">
        <v>1054</v>
      </c>
      <c r="P87" s="4">
        <f>[2]Sheet1!K87</f>
        <v>0.85</v>
      </c>
    </row>
    <row r="88" spans="1:16" x14ac:dyDescent="0.35">
      <c r="A88" t="s">
        <v>138</v>
      </c>
      <c r="B88" t="str">
        <f>TRIM([1]Sheet1!AD88)</f>
        <v>Samuel Pierce</v>
      </c>
      <c r="C88" t="str">
        <f>IF(UPPER(LEFT([1]Sheet1!W88,1))="F","FEMALE","MALE")</f>
        <v>MALE</v>
      </c>
      <c r="D88">
        <v>25</v>
      </c>
      <c r="E88" t="s">
        <v>30</v>
      </c>
      <c r="F88" t="s">
        <v>30</v>
      </c>
      <c r="G88" t="s">
        <v>11</v>
      </c>
      <c r="H88" t="s">
        <v>12</v>
      </c>
      <c r="I88" s="1">
        <v>2</v>
      </c>
      <c r="J88" s="1" t="str">
        <f t="shared" si="12"/>
        <v>0-5</v>
      </c>
      <c r="K88" s="1">
        <v>3.7</v>
      </c>
      <c r="L88" s="2">
        <v>75</v>
      </c>
      <c r="M88" s="1">
        <f t="shared" si="14"/>
        <v>75</v>
      </c>
      <c r="N88" s="1">
        <f t="shared" si="18"/>
        <v>75</v>
      </c>
      <c r="O88" t="s">
        <v>1053</v>
      </c>
    </row>
    <row r="89" spans="1:16" x14ac:dyDescent="0.35">
      <c r="A89" t="s">
        <v>139</v>
      </c>
      <c r="B89" t="str">
        <f>TRIM([1]Sheet1!AD89)</f>
        <v>Briana Smith</v>
      </c>
      <c r="C89" t="str">
        <f>IF(UPPER(LEFT([1]Sheet1!W89,1))="F","FEMALE","MALE")</f>
        <v>FEMALE</v>
      </c>
      <c r="D89">
        <v>38</v>
      </c>
      <c r="E89" t="s">
        <v>99</v>
      </c>
      <c r="F89" t="s">
        <v>99</v>
      </c>
      <c r="G89" t="s">
        <v>38</v>
      </c>
      <c r="H89" t="s">
        <v>18</v>
      </c>
      <c r="I89" s="1">
        <v>19</v>
      </c>
      <c r="J89" s="1" t="str">
        <f t="shared" si="12"/>
        <v xml:space="preserve"> 16-20</v>
      </c>
      <c r="K89" s="1">
        <v>2.2999999999999998</v>
      </c>
      <c r="L89" s="1">
        <v>75</v>
      </c>
      <c r="M89" s="1">
        <f t="shared" si="14"/>
        <v>75</v>
      </c>
      <c r="N89" s="1">
        <f t="shared" si="18"/>
        <v>75</v>
      </c>
      <c r="O89" t="s">
        <v>1053</v>
      </c>
      <c r="P89" s="4">
        <f>[2]Sheet1!K89</f>
        <v>0.61</v>
      </c>
    </row>
    <row r="90" spans="1:16" x14ac:dyDescent="0.35">
      <c r="A90" t="s">
        <v>140</v>
      </c>
      <c r="B90" t="str">
        <f>TRIM([1]Sheet1!AD90)</f>
        <v>Ronald Barrett</v>
      </c>
      <c r="C90" t="str">
        <f>IF(UPPER(LEFT([1]Sheet1!W90,1))="F","FEMALE","MALE")</f>
        <v>MALE</v>
      </c>
      <c r="D90">
        <v>57</v>
      </c>
      <c r="E90" t="s">
        <v>67</v>
      </c>
      <c r="F90" t="s">
        <v>67</v>
      </c>
      <c r="G90" t="s">
        <v>68</v>
      </c>
      <c r="H90" t="s">
        <v>23</v>
      </c>
      <c r="I90" s="1">
        <v>16</v>
      </c>
      <c r="J90" s="1" t="str">
        <f t="shared" si="12"/>
        <v>11-16</v>
      </c>
      <c r="K90" s="1">
        <v>3.1</v>
      </c>
      <c r="L90" s="1">
        <v>100</v>
      </c>
      <c r="M90" s="1">
        <f t="shared" si="14"/>
        <v>100</v>
      </c>
      <c r="N90" s="1">
        <f t="shared" si="18"/>
        <v>100</v>
      </c>
      <c r="O90" t="s">
        <v>1053</v>
      </c>
    </row>
    <row r="91" spans="1:16" x14ac:dyDescent="0.35">
      <c r="A91" t="s">
        <v>141</v>
      </c>
      <c r="B91" t="str">
        <f>TRIM([1]Sheet1!AD91)</f>
        <v>Matthew Smith</v>
      </c>
      <c r="C91" t="str">
        <f>IF(UPPER(LEFT([1]Sheet1!W91,1))="F","FEMALE","MALE")</f>
        <v>MALE</v>
      </c>
      <c r="D91">
        <v>32</v>
      </c>
      <c r="E91" t="s">
        <v>50</v>
      </c>
      <c r="F91" t="s">
        <v>50</v>
      </c>
      <c r="G91" t="s">
        <v>51</v>
      </c>
      <c r="H91" t="s">
        <v>12</v>
      </c>
      <c r="I91" s="1">
        <v>10</v>
      </c>
      <c r="J91" s="1" t="str">
        <f t="shared" si="12"/>
        <v>5-10</v>
      </c>
      <c r="K91" s="1">
        <v>2.4</v>
      </c>
      <c r="L91" s="2">
        <v>20</v>
      </c>
      <c r="M91" s="1">
        <f t="shared" si="14"/>
        <v>20</v>
      </c>
      <c r="N91" s="1">
        <f t="shared" si="18"/>
        <v>20</v>
      </c>
      <c r="O91" t="s">
        <v>1053</v>
      </c>
      <c r="P91" s="4">
        <f>[2]Sheet1!K91</f>
        <v>0.86</v>
      </c>
    </row>
    <row r="92" spans="1:16" x14ac:dyDescent="0.35">
      <c r="A92" t="s">
        <v>142</v>
      </c>
      <c r="B92" t="str">
        <f>TRIM([1]Sheet1!AD92)</f>
        <v>Logan Huang</v>
      </c>
      <c r="C92" t="str">
        <f>IF(UPPER(LEFT([1]Sheet1!W92,1))="F","FEMALE","MALE")</f>
        <v>MALE</v>
      </c>
      <c r="D92">
        <v>21</v>
      </c>
      <c r="E92" t="s">
        <v>6</v>
      </c>
      <c r="F92" t="s">
        <v>6</v>
      </c>
      <c r="G92" t="s">
        <v>7</v>
      </c>
      <c r="H92" t="s">
        <v>48</v>
      </c>
      <c r="I92" s="1">
        <v>2</v>
      </c>
      <c r="J92" s="1" t="str">
        <f t="shared" si="12"/>
        <v>0-5</v>
      </c>
      <c r="K92" s="1">
        <v>1.6</v>
      </c>
      <c r="L92" s="1" t="s">
        <v>1062</v>
      </c>
      <c r="M92" s="1" t="str">
        <f t="shared" si="14"/>
        <v>USD 100</v>
      </c>
      <c r="N92" s="1">
        <v>100</v>
      </c>
      <c r="O92" t="s">
        <v>1054</v>
      </c>
      <c r="P92" s="4">
        <f>[2]Sheet1!K92</f>
        <v>0.97</v>
      </c>
    </row>
    <row r="93" spans="1:16" x14ac:dyDescent="0.35">
      <c r="A93" t="s">
        <v>143</v>
      </c>
      <c r="B93" t="str">
        <f>TRIM([1]Sheet1!AD93)</f>
        <v>Miranda Hutchinson</v>
      </c>
      <c r="C93" t="str">
        <f>IF(UPPER(LEFT([1]Sheet1!W93,1))="F","FEMALE","MALE")</f>
        <v>FEMALE</v>
      </c>
      <c r="D93">
        <v>57</v>
      </c>
      <c r="E93" t="s">
        <v>70</v>
      </c>
      <c r="F93" t="s">
        <v>70</v>
      </c>
      <c r="G93" t="s">
        <v>11</v>
      </c>
      <c r="H93" t="s">
        <v>41</v>
      </c>
      <c r="I93" s="1">
        <v>18</v>
      </c>
      <c r="J93" s="1" t="str">
        <f t="shared" si="12"/>
        <v xml:space="preserve"> 16-20</v>
      </c>
      <c r="K93" s="1">
        <v>2.4</v>
      </c>
      <c r="L93" s="1">
        <v>50</v>
      </c>
      <c r="M93" s="1">
        <f t="shared" si="14"/>
        <v>50</v>
      </c>
      <c r="N93" s="1">
        <f>M93</f>
        <v>50</v>
      </c>
      <c r="O93" t="s">
        <v>1054</v>
      </c>
      <c r="P93" s="4">
        <f>[2]Sheet1!K93</f>
        <v>0.63</v>
      </c>
    </row>
    <row r="94" spans="1:16" x14ac:dyDescent="0.35">
      <c r="A94" t="s">
        <v>144</v>
      </c>
      <c r="B94" t="str">
        <f>TRIM([1]Sheet1!AD94)</f>
        <v>Paul Richardson</v>
      </c>
      <c r="C94" t="str">
        <f>IF(UPPER(LEFT([1]Sheet1!W94,1))="F","FEMALE","MALE")</f>
        <v>MALE</v>
      </c>
      <c r="D94">
        <v>53</v>
      </c>
      <c r="E94" t="s">
        <v>96</v>
      </c>
      <c r="F94" t="s">
        <v>96</v>
      </c>
      <c r="G94" t="s">
        <v>97</v>
      </c>
      <c r="H94" t="s">
        <v>39</v>
      </c>
      <c r="I94" s="1">
        <v>21</v>
      </c>
      <c r="J94" s="1" t="str">
        <f t="shared" si="12"/>
        <v>21- 25</v>
      </c>
      <c r="L94" s="1" t="s">
        <v>1062</v>
      </c>
      <c r="M94" s="1" t="str">
        <f t="shared" si="14"/>
        <v>USD 100</v>
      </c>
      <c r="N94" s="1">
        <v>100</v>
      </c>
      <c r="O94" t="s">
        <v>1054</v>
      </c>
      <c r="P94" s="4">
        <f>[2]Sheet1!K94</f>
        <v>0.97</v>
      </c>
    </row>
    <row r="95" spans="1:16" x14ac:dyDescent="0.35">
      <c r="A95" t="s">
        <v>145</v>
      </c>
      <c r="B95" t="str">
        <f>TRIM([1]Sheet1!AD95)</f>
        <v>Jose Jones</v>
      </c>
      <c r="C95" t="str">
        <f>IF(UPPER(LEFT([1]Sheet1!W95,1))="F","FEMALE","MALE")</f>
        <v>MALE</v>
      </c>
      <c r="D95">
        <v>35</v>
      </c>
      <c r="E95" t="s">
        <v>67</v>
      </c>
      <c r="F95" t="s">
        <v>67</v>
      </c>
      <c r="G95" t="s">
        <v>68</v>
      </c>
      <c r="H95" t="s">
        <v>8</v>
      </c>
      <c r="I95" s="1">
        <v>3</v>
      </c>
      <c r="J95" s="1" t="str">
        <f t="shared" si="12"/>
        <v>0-5</v>
      </c>
      <c r="K95" s="1">
        <v>3.8</v>
      </c>
      <c r="L95" s="1" t="s">
        <v>1066</v>
      </c>
      <c r="M95" s="1" t="str">
        <f t="shared" si="14"/>
        <v>USD 30</v>
      </c>
      <c r="N95" s="1">
        <v>30</v>
      </c>
      <c r="O95" t="s">
        <v>1054</v>
      </c>
      <c r="P95" s="4">
        <f>[2]Sheet1!K95</f>
        <v>0.81</v>
      </c>
    </row>
    <row r="96" spans="1:16" x14ac:dyDescent="0.35">
      <c r="A96" t="s">
        <v>146</v>
      </c>
      <c r="B96" t="str">
        <f>TRIM([1]Sheet1!AD96)</f>
        <v>Denise Smith</v>
      </c>
      <c r="C96" t="str">
        <f>IF(UPPER(LEFT([1]Sheet1!W96,1))="F","FEMALE","MALE")</f>
        <v>FEMALE</v>
      </c>
      <c r="D96">
        <v>54</v>
      </c>
      <c r="E96" t="s">
        <v>96</v>
      </c>
      <c r="F96" t="s">
        <v>96</v>
      </c>
      <c r="G96" t="s">
        <v>97</v>
      </c>
      <c r="H96" t="s">
        <v>62</v>
      </c>
      <c r="I96" s="1">
        <v>17</v>
      </c>
      <c r="J96" s="1" t="str">
        <f t="shared" si="12"/>
        <v xml:space="preserve"> 16-20</v>
      </c>
      <c r="K96" s="1">
        <v>1.7</v>
      </c>
      <c r="L96" s="1">
        <v>20</v>
      </c>
      <c r="M96" s="1">
        <f t="shared" si="14"/>
        <v>20</v>
      </c>
      <c r="N96" s="1">
        <f t="shared" ref="N96:N112" si="19">M96</f>
        <v>20</v>
      </c>
      <c r="O96" t="s">
        <v>1053</v>
      </c>
      <c r="P96" s="4">
        <f>[2]Sheet1!K96</f>
        <v>0.69</v>
      </c>
    </row>
    <row r="97" spans="1:16" x14ac:dyDescent="0.35">
      <c r="A97" t="s">
        <v>147</v>
      </c>
      <c r="B97" t="str">
        <f>TRIM([1]Sheet1!AD97)</f>
        <v>Shelby Mcmahon</v>
      </c>
      <c r="C97" t="str">
        <f>IF(UPPER(LEFT([1]Sheet1!W97,1))="F","FEMALE","MALE")</f>
        <v>FEMALE</v>
      </c>
      <c r="D97">
        <v>36</v>
      </c>
      <c r="E97" t="s">
        <v>6</v>
      </c>
      <c r="F97" t="s">
        <v>6</v>
      </c>
      <c r="G97" t="s">
        <v>7</v>
      </c>
      <c r="H97" t="s">
        <v>39</v>
      </c>
      <c r="I97" s="1">
        <v>0</v>
      </c>
      <c r="J97" s="1" t="str">
        <f t="shared" si="12"/>
        <v>0-5</v>
      </c>
      <c r="K97" s="1">
        <v>1.3</v>
      </c>
      <c r="L97" s="1">
        <v>20</v>
      </c>
      <c r="M97" s="1">
        <f t="shared" si="14"/>
        <v>20</v>
      </c>
      <c r="N97" s="1">
        <f t="shared" si="19"/>
        <v>20</v>
      </c>
      <c r="O97" t="s">
        <v>1054</v>
      </c>
      <c r="P97" s="4">
        <f>[2]Sheet1!K97</f>
        <v>0.64</v>
      </c>
    </row>
    <row r="98" spans="1:16" x14ac:dyDescent="0.35">
      <c r="A98" t="s">
        <v>148</v>
      </c>
      <c r="B98" t="str">
        <f>TRIM([1]Sheet1!AD98)</f>
        <v>Bethany Wright</v>
      </c>
      <c r="C98" t="str">
        <f>IF(UPPER(LEFT([1]Sheet1!W98,1))="F","FEMALE","MALE")</f>
        <v>FEMALE</v>
      </c>
      <c r="D98">
        <v>49</v>
      </c>
      <c r="E98" t="s">
        <v>105</v>
      </c>
      <c r="F98" t="s">
        <v>105</v>
      </c>
      <c r="G98" t="s">
        <v>38</v>
      </c>
      <c r="H98" t="s">
        <v>41</v>
      </c>
      <c r="I98" s="1">
        <v>25</v>
      </c>
      <c r="J98" s="1" t="str">
        <f t="shared" si="12"/>
        <v>21- 25</v>
      </c>
      <c r="K98" s="1">
        <v>5</v>
      </c>
      <c r="L98" s="1">
        <v>50</v>
      </c>
      <c r="M98" s="1">
        <f t="shared" si="14"/>
        <v>50</v>
      </c>
      <c r="N98" s="1">
        <f t="shared" si="19"/>
        <v>50</v>
      </c>
      <c r="O98" t="s">
        <v>1053</v>
      </c>
      <c r="P98" s="4">
        <f>[2]Sheet1!K98</f>
        <v>0.77</v>
      </c>
    </row>
    <row r="99" spans="1:16" x14ac:dyDescent="0.35">
      <c r="A99" t="s">
        <v>149</v>
      </c>
      <c r="B99" t="str">
        <f>TRIM([1]Sheet1!AD99)</f>
        <v>David Ortiz</v>
      </c>
      <c r="C99" t="str">
        <f>IF(UPPER(LEFT([1]Sheet1!W99,1))="F","FEMALE","MALE")</f>
        <v>MALE</v>
      </c>
      <c r="D99">
        <v>37</v>
      </c>
      <c r="E99" t="s">
        <v>30</v>
      </c>
      <c r="F99" t="s">
        <v>30</v>
      </c>
      <c r="G99" t="s">
        <v>11</v>
      </c>
      <c r="H99" t="s">
        <v>8</v>
      </c>
      <c r="I99" s="1">
        <v>17</v>
      </c>
      <c r="J99" s="1" t="str">
        <f t="shared" si="12"/>
        <v xml:space="preserve"> 16-20</v>
      </c>
      <c r="K99" s="1">
        <v>3.3</v>
      </c>
      <c r="L99" s="1">
        <v>20</v>
      </c>
      <c r="M99" s="1">
        <f t="shared" si="14"/>
        <v>20</v>
      </c>
      <c r="N99" s="1">
        <f t="shared" si="19"/>
        <v>20</v>
      </c>
      <c r="O99" t="s">
        <v>1053</v>
      </c>
      <c r="P99" s="3">
        <f>[2]Sheet1!K99/100</f>
        <v>0.96</v>
      </c>
    </row>
    <row r="100" spans="1:16" x14ac:dyDescent="0.35">
      <c r="A100" t="s">
        <v>150</v>
      </c>
      <c r="B100" t="str">
        <f>TRIM([1]Sheet1!AD100)</f>
        <v>Andrew Lynch</v>
      </c>
      <c r="C100" t="str">
        <f>IF(UPPER(LEFT([1]Sheet1!W100,1))="F","FEMALE","MALE")</f>
        <v>MALE</v>
      </c>
      <c r="E100" t="s">
        <v>30</v>
      </c>
      <c r="F100" t="s">
        <v>30</v>
      </c>
      <c r="G100" t="s">
        <v>11</v>
      </c>
      <c r="H100" t="s">
        <v>39</v>
      </c>
      <c r="I100" s="1">
        <v>5</v>
      </c>
      <c r="J100" s="1" t="str">
        <f t="shared" si="12"/>
        <v>0-5</v>
      </c>
      <c r="K100" s="1">
        <v>1.1000000000000001</v>
      </c>
      <c r="L100" s="2">
        <v>20</v>
      </c>
      <c r="M100" s="1">
        <f t="shared" si="14"/>
        <v>20</v>
      </c>
      <c r="N100" s="1">
        <f t="shared" si="19"/>
        <v>20</v>
      </c>
      <c r="O100" t="s">
        <v>1053</v>
      </c>
      <c r="P100" s="4">
        <f>[2]Sheet1!K100</f>
        <v>0.74</v>
      </c>
    </row>
    <row r="101" spans="1:16" x14ac:dyDescent="0.35">
      <c r="A101" t="s">
        <v>151</v>
      </c>
      <c r="B101" t="str">
        <f>TRIM([1]Sheet1!AD101)</f>
        <v>Kristopher Meyers</v>
      </c>
      <c r="C101" t="str">
        <f>IF(UPPER(LEFT([1]Sheet1!W101,1))="F","FEMALE","MALE")</f>
        <v>MALE</v>
      </c>
      <c r="D101">
        <v>32</v>
      </c>
      <c r="E101" t="s">
        <v>77</v>
      </c>
      <c r="F101" t="s">
        <v>77</v>
      </c>
      <c r="G101" t="s">
        <v>78</v>
      </c>
      <c r="H101" t="s">
        <v>39</v>
      </c>
      <c r="I101" s="1">
        <v>10</v>
      </c>
      <c r="J101" s="1" t="str">
        <f t="shared" si="12"/>
        <v>5-10</v>
      </c>
      <c r="K101" s="1">
        <v>1.2</v>
      </c>
      <c r="L101" s="1">
        <v>50</v>
      </c>
      <c r="M101" s="1">
        <f t="shared" si="14"/>
        <v>50</v>
      </c>
      <c r="N101" s="1">
        <f t="shared" si="19"/>
        <v>50</v>
      </c>
      <c r="O101" t="s">
        <v>1053</v>
      </c>
      <c r="P101" s="4">
        <f>[2]Sheet1!K101</f>
        <v>0.89</v>
      </c>
    </row>
    <row r="102" spans="1:16" x14ac:dyDescent="0.35">
      <c r="A102" t="s">
        <v>152</v>
      </c>
      <c r="B102" t="str">
        <f>TRIM([1]Sheet1!AD102)</f>
        <v>Thomas Roth</v>
      </c>
      <c r="C102" t="str">
        <f>IF(UPPER(LEFT([1]Sheet1!W102,1))="F","FEMALE","MALE")</f>
        <v>MALE</v>
      </c>
      <c r="D102">
        <v>35</v>
      </c>
      <c r="E102" t="s">
        <v>50</v>
      </c>
      <c r="F102" t="s">
        <v>50</v>
      </c>
      <c r="G102" t="s">
        <v>51</v>
      </c>
      <c r="H102" t="s">
        <v>12</v>
      </c>
      <c r="I102" s="1">
        <v>0</v>
      </c>
      <c r="J102" s="1" t="str">
        <f t="shared" si="12"/>
        <v>0-5</v>
      </c>
      <c r="K102" s="1">
        <v>2</v>
      </c>
      <c r="M102" s="1">
        <f t="shared" si="14"/>
        <v>0</v>
      </c>
      <c r="N102" s="1">
        <f t="shared" si="19"/>
        <v>0</v>
      </c>
      <c r="O102" t="s">
        <v>1054</v>
      </c>
      <c r="P102" s="4">
        <f>[2]Sheet1!K102</f>
        <v>0.64</v>
      </c>
    </row>
    <row r="103" spans="1:16" x14ac:dyDescent="0.35">
      <c r="A103" t="s">
        <v>153</v>
      </c>
      <c r="B103" t="str">
        <f>TRIM([1]Sheet1!AD103)</f>
        <v>Vicki Brown</v>
      </c>
      <c r="C103" t="str">
        <f>IF(UPPER(LEFT([1]Sheet1!W103,1))="F","FEMALE","MALE")</f>
        <v>FEMALE</v>
      </c>
      <c r="D103">
        <v>51</v>
      </c>
      <c r="E103" t="s">
        <v>67</v>
      </c>
      <c r="F103" t="s">
        <v>67</v>
      </c>
      <c r="G103" t="s">
        <v>68</v>
      </c>
      <c r="H103" t="s">
        <v>16</v>
      </c>
      <c r="I103" s="1">
        <v>2</v>
      </c>
      <c r="J103" s="1" t="str">
        <f t="shared" si="12"/>
        <v>0-5</v>
      </c>
      <c r="K103" s="1">
        <v>4.5</v>
      </c>
      <c r="L103" s="2">
        <v>30</v>
      </c>
      <c r="M103" s="1">
        <f t="shared" si="14"/>
        <v>30</v>
      </c>
      <c r="N103" s="1">
        <f t="shared" si="19"/>
        <v>30</v>
      </c>
      <c r="O103" t="s">
        <v>1053</v>
      </c>
      <c r="P103" s="3">
        <f>[2]Sheet1!K103/100</f>
        <v>0.64</v>
      </c>
    </row>
    <row r="104" spans="1:16" x14ac:dyDescent="0.35">
      <c r="A104" t="s">
        <v>154</v>
      </c>
      <c r="B104" t="str">
        <f>TRIM([1]Sheet1!AD104)</f>
        <v>Stacy Sutton</v>
      </c>
      <c r="C104" t="str">
        <f>IF(UPPER(LEFT([1]Sheet1!W104,1))="F","FEMALE","MALE")</f>
        <v>FEMALE</v>
      </c>
      <c r="D104">
        <v>50</v>
      </c>
      <c r="E104" t="s">
        <v>67</v>
      </c>
      <c r="F104" t="s">
        <v>67</v>
      </c>
      <c r="G104" t="s">
        <v>68</v>
      </c>
      <c r="H104" t="s">
        <v>48</v>
      </c>
      <c r="I104" s="1">
        <v>30</v>
      </c>
      <c r="J104" s="1" t="str">
        <f t="shared" si="12"/>
        <v>26-30</v>
      </c>
      <c r="K104" s="1">
        <v>3</v>
      </c>
      <c r="L104" s="1">
        <v>100</v>
      </c>
      <c r="M104" s="1">
        <f t="shared" si="14"/>
        <v>100</v>
      </c>
      <c r="N104" s="1">
        <f t="shared" si="19"/>
        <v>100</v>
      </c>
      <c r="O104" t="s">
        <v>1054</v>
      </c>
      <c r="P104" s="4">
        <f>[2]Sheet1!K104</f>
        <v>0.73</v>
      </c>
    </row>
    <row r="105" spans="1:16" x14ac:dyDescent="0.35">
      <c r="A105" t="s">
        <v>155</v>
      </c>
      <c r="B105" t="str">
        <f>TRIM([1]Sheet1!AD105)</f>
        <v>Kimberly Holland</v>
      </c>
      <c r="C105" t="str">
        <f>IF(UPPER(LEFT([1]Sheet1!W105,1))="F","FEMALE","MALE")</f>
        <v>FEMALE</v>
      </c>
      <c r="D105">
        <v>21</v>
      </c>
      <c r="E105" t="s">
        <v>32</v>
      </c>
      <c r="F105" t="s">
        <v>32</v>
      </c>
      <c r="G105" t="s">
        <v>33</v>
      </c>
      <c r="H105" t="s">
        <v>8</v>
      </c>
      <c r="I105" s="1">
        <v>2</v>
      </c>
      <c r="J105" s="1" t="str">
        <f t="shared" si="12"/>
        <v>0-5</v>
      </c>
      <c r="K105" s="1">
        <v>4.9000000000000004</v>
      </c>
      <c r="L105" s="2">
        <v>50</v>
      </c>
      <c r="M105" s="1">
        <f t="shared" si="14"/>
        <v>50</v>
      </c>
      <c r="N105" s="1">
        <f t="shared" si="19"/>
        <v>50</v>
      </c>
      <c r="O105" t="s">
        <v>1054</v>
      </c>
      <c r="P105" s="4">
        <f>[2]Sheet1!K105</f>
        <v>0.68</v>
      </c>
    </row>
    <row r="106" spans="1:16" x14ac:dyDescent="0.35">
      <c r="A106" t="s">
        <v>156</v>
      </c>
      <c r="B106" t="str">
        <f>TRIM([1]Sheet1!AD106)</f>
        <v>Travis Richardson</v>
      </c>
      <c r="C106" t="str">
        <f>IF(UPPER(LEFT([1]Sheet1!W106,1))="F","FEMALE","MALE")</f>
        <v>MALE</v>
      </c>
      <c r="D106">
        <v>25</v>
      </c>
      <c r="E106" t="s">
        <v>30</v>
      </c>
      <c r="F106" t="s">
        <v>30</v>
      </c>
      <c r="G106" t="s">
        <v>11</v>
      </c>
      <c r="H106" t="s">
        <v>16</v>
      </c>
      <c r="I106" s="1">
        <v>3</v>
      </c>
      <c r="J106" s="1" t="str">
        <f t="shared" si="12"/>
        <v>0-5</v>
      </c>
      <c r="L106" s="2">
        <v>30</v>
      </c>
      <c r="M106" s="1">
        <f t="shared" si="14"/>
        <v>30</v>
      </c>
      <c r="N106" s="1">
        <f t="shared" si="19"/>
        <v>30</v>
      </c>
      <c r="O106" t="s">
        <v>1053</v>
      </c>
      <c r="P106" s="4">
        <f>[2]Sheet1!K106</f>
        <v>0.88</v>
      </c>
    </row>
    <row r="107" spans="1:16" x14ac:dyDescent="0.35">
      <c r="A107" t="s">
        <v>157</v>
      </c>
      <c r="B107" t="str">
        <f>TRIM([1]Sheet1!AD107)</f>
        <v>Jasmin Ho</v>
      </c>
      <c r="C107" t="str">
        <f>IF(UPPER(LEFT([1]Sheet1!W107,1))="F","FEMALE","MALE")</f>
        <v>FEMALE</v>
      </c>
      <c r="D107">
        <v>57</v>
      </c>
      <c r="E107" t="s">
        <v>74</v>
      </c>
      <c r="F107" t="s">
        <v>74</v>
      </c>
      <c r="G107" t="s">
        <v>75</v>
      </c>
      <c r="H107" t="s">
        <v>48</v>
      </c>
      <c r="I107" s="1">
        <v>21</v>
      </c>
      <c r="J107" s="1" t="str">
        <f t="shared" si="12"/>
        <v>21- 25</v>
      </c>
      <c r="K107" s="1">
        <v>2.5</v>
      </c>
      <c r="L107" s="2">
        <v>40</v>
      </c>
      <c r="M107" s="1">
        <f t="shared" si="14"/>
        <v>40</v>
      </c>
      <c r="N107" s="1">
        <f t="shared" si="19"/>
        <v>40</v>
      </c>
      <c r="O107" t="s">
        <v>1053</v>
      </c>
      <c r="P107" s="4">
        <f>[2]Sheet1!K107</f>
        <v>0.77</v>
      </c>
    </row>
    <row r="108" spans="1:16" x14ac:dyDescent="0.35">
      <c r="A108" t="s">
        <v>158</v>
      </c>
      <c r="B108" t="str">
        <f>TRIM([1]Sheet1!AD108)</f>
        <v>Mark Paul</v>
      </c>
      <c r="C108" t="str">
        <f>IF(UPPER(LEFT([1]Sheet1!W108,1))="F","FEMALE","MALE")</f>
        <v>MALE</v>
      </c>
      <c r="D108">
        <v>58</v>
      </c>
      <c r="E108" t="s">
        <v>67</v>
      </c>
      <c r="F108" t="s">
        <v>67</v>
      </c>
      <c r="G108" t="s">
        <v>68</v>
      </c>
      <c r="H108" t="s">
        <v>8</v>
      </c>
      <c r="I108" s="1">
        <v>3</v>
      </c>
      <c r="J108" s="1" t="str">
        <f t="shared" si="12"/>
        <v>0-5</v>
      </c>
      <c r="K108" s="1">
        <v>0</v>
      </c>
      <c r="M108" s="1">
        <f t="shared" si="14"/>
        <v>0</v>
      </c>
      <c r="N108" s="1">
        <f t="shared" si="19"/>
        <v>0</v>
      </c>
      <c r="O108" t="s">
        <v>1054</v>
      </c>
    </row>
    <row r="109" spans="1:16" x14ac:dyDescent="0.35">
      <c r="A109" t="s">
        <v>159</v>
      </c>
      <c r="B109" t="str">
        <f>TRIM([1]Sheet1!AD109)</f>
        <v>Jennifer Lewis</v>
      </c>
      <c r="C109" t="str">
        <f>IF(UPPER(LEFT([1]Sheet1!W109,1))="F","FEMALE","MALE")</f>
        <v>FEMALE</v>
      </c>
      <c r="D109">
        <v>45</v>
      </c>
      <c r="E109" t="s">
        <v>25</v>
      </c>
      <c r="F109" t="s">
        <v>25</v>
      </c>
      <c r="G109" t="s">
        <v>26</v>
      </c>
      <c r="H109" t="s">
        <v>12</v>
      </c>
      <c r="I109" s="1">
        <v>19</v>
      </c>
      <c r="J109" s="1" t="str">
        <f t="shared" si="12"/>
        <v xml:space="preserve"> 16-20</v>
      </c>
      <c r="L109" s="1">
        <v>40</v>
      </c>
      <c r="M109" s="1">
        <f t="shared" si="14"/>
        <v>40</v>
      </c>
      <c r="N109" s="1">
        <f t="shared" si="19"/>
        <v>40</v>
      </c>
      <c r="O109" t="s">
        <v>1054</v>
      </c>
      <c r="P109" s="4">
        <f>[2]Sheet1!K109</f>
        <v>0.72</v>
      </c>
    </row>
    <row r="110" spans="1:16" x14ac:dyDescent="0.35">
      <c r="A110" t="s">
        <v>160</v>
      </c>
      <c r="B110" t="str">
        <f>TRIM([1]Sheet1!AD110)</f>
        <v>Elizabeth Lester</v>
      </c>
      <c r="C110" t="str">
        <f>IF(UPPER(LEFT([1]Sheet1!W110,1))="F","FEMALE","MALE")</f>
        <v>FEMALE</v>
      </c>
      <c r="D110">
        <v>23</v>
      </c>
      <c r="E110" t="s">
        <v>30</v>
      </c>
      <c r="F110" t="s">
        <v>30</v>
      </c>
      <c r="G110" t="s">
        <v>11</v>
      </c>
      <c r="H110" t="s">
        <v>18</v>
      </c>
      <c r="I110" s="1">
        <v>0</v>
      </c>
      <c r="J110" s="1" t="str">
        <f t="shared" si="12"/>
        <v>0-5</v>
      </c>
      <c r="K110" s="1">
        <v>4.7</v>
      </c>
      <c r="L110" s="1">
        <v>20</v>
      </c>
      <c r="M110" s="1">
        <f t="shared" si="14"/>
        <v>20</v>
      </c>
      <c r="N110" s="1">
        <f t="shared" si="19"/>
        <v>20</v>
      </c>
      <c r="O110" t="s">
        <v>1054</v>
      </c>
      <c r="P110" s="4">
        <f>[2]Sheet1!K110</f>
        <v>0.6</v>
      </c>
    </row>
    <row r="111" spans="1:16" x14ac:dyDescent="0.35">
      <c r="A111" t="s">
        <v>161</v>
      </c>
      <c r="B111" t="str">
        <f>TRIM([1]Sheet1!AD111)</f>
        <v>Kimberly Griffin</v>
      </c>
      <c r="C111" t="str">
        <f>IF(UPPER(LEFT([1]Sheet1!W111,1))="F","FEMALE","MALE")</f>
        <v>FEMALE</v>
      </c>
      <c r="D111">
        <v>46</v>
      </c>
      <c r="E111" t="s">
        <v>30</v>
      </c>
      <c r="F111" t="s">
        <v>30</v>
      </c>
      <c r="G111" t="s">
        <v>11</v>
      </c>
      <c r="H111" t="s">
        <v>23</v>
      </c>
      <c r="I111" s="1">
        <v>9</v>
      </c>
      <c r="J111" s="1" t="str">
        <f t="shared" si="12"/>
        <v>5-10</v>
      </c>
      <c r="K111" s="1">
        <v>3.5</v>
      </c>
      <c r="L111" s="2">
        <v>30</v>
      </c>
      <c r="M111" s="1">
        <f t="shared" si="14"/>
        <v>30</v>
      </c>
      <c r="N111" s="1">
        <f t="shared" si="19"/>
        <v>30</v>
      </c>
      <c r="P111" s="3">
        <f>[2]Sheet1!K111/100</f>
        <v>0.72</v>
      </c>
    </row>
    <row r="112" spans="1:16" x14ac:dyDescent="0.35">
      <c r="A112" t="s">
        <v>162</v>
      </c>
      <c r="B112" t="str">
        <f>TRIM([1]Sheet1!AD112)</f>
        <v>Tyler Warner</v>
      </c>
      <c r="C112" t="str">
        <f>IF(UPPER(LEFT([1]Sheet1!W112,1))="F","FEMALE","MALE")</f>
        <v>MALE</v>
      </c>
      <c r="D112">
        <v>27</v>
      </c>
      <c r="E112" t="s">
        <v>37</v>
      </c>
      <c r="F112" t="s">
        <v>37</v>
      </c>
      <c r="G112" t="s">
        <v>38</v>
      </c>
      <c r="H112" t="s">
        <v>39</v>
      </c>
      <c r="I112" s="1">
        <v>5</v>
      </c>
      <c r="J112" s="1" t="str">
        <f t="shared" si="12"/>
        <v>0-5</v>
      </c>
      <c r="L112" s="1">
        <v>30</v>
      </c>
      <c r="M112" s="1">
        <f t="shared" si="14"/>
        <v>30</v>
      </c>
      <c r="N112" s="1">
        <f t="shared" si="19"/>
        <v>30</v>
      </c>
      <c r="O112" t="s">
        <v>1053</v>
      </c>
      <c r="P112" s="4">
        <f>[2]Sheet1!K112</f>
        <v>0.92</v>
      </c>
    </row>
    <row r="113" spans="1:16" x14ac:dyDescent="0.35">
      <c r="A113" t="s">
        <v>163</v>
      </c>
      <c r="B113" t="str">
        <f>TRIM([1]Sheet1!AD113)</f>
        <v>Jane Cox</v>
      </c>
      <c r="C113" t="str">
        <f>IF(UPPER(LEFT([1]Sheet1!W113,1))="F","FEMALE","MALE")</f>
        <v>FEMALE</v>
      </c>
      <c r="D113">
        <v>32</v>
      </c>
      <c r="E113" t="s">
        <v>30</v>
      </c>
      <c r="F113" t="s">
        <v>30</v>
      </c>
      <c r="G113" t="s">
        <v>11</v>
      </c>
      <c r="H113" t="s">
        <v>62</v>
      </c>
      <c r="I113" s="1">
        <v>6</v>
      </c>
      <c r="J113" s="1" t="str">
        <f t="shared" si="12"/>
        <v>5-10</v>
      </c>
      <c r="K113" s="1">
        <v>3.4</v>
      </c>
      <c r="L113" s="1" t="s">
        <v>1065</v>
      </c>
      <c r="M113" s="1" t="str">
        <f t="shared" si="14"/>
        <v>USD 50</v>
      </c>
      <c r="N113" s="1">
        <v>50</v>
      </c>
      <c r="O113" t="s">
        <v>1054</v>
      </c>
    </row>
    <row r="114" spans="1:16" x14ac:dyDescent="0.35">
      <c r="A114" t="s">
        <v>164</v>
      </c>
      <c r="B114" t="str">
        <f>TRIM([1]Sheet1!AD114)</f>
        <v>Leah Williams</v>
      </c>
      <c r="C114" t="str">
        <f>IF(UPPER(LEFT([1]Sheet1!W114,1))="F","FEMALE","MALE")</f>
        <v>FEMALE</v>
      </c>
      <c r="D114">
        <v>48</v>
      </c>
      <c r="E114" t="s">
        <v>37</v>
      </c>
      <c r="F114" t="s">
        <v>37</v>
      </c>
      <c r="G114" t="s">
        <v>38</v>
      </c>
      <c r="H114" t="s">
        <v>62</v>
      </c>
      <c r="I114" s="1">
        <v>6</v>
      </c>
      <c r="J114" s="1" t="str">
        <f t="shared" si="12"/>
        <v>5-10</v>
      </c>
      <c r="K114" s="1">
        <v>2.5</v>
      </c>
      <c r="L114" s="1" t="s">
        <v>1063</v>
      </c>
      <c r="M114" s="1" t="str">
        <f t="shared" si="14"/>
        <v>USD 75</v>
      </c>
      <c r="N114" s="1">
        <v>75</v>
      </c>
      <c r="P114" s="4">
        <f>[2]Sheet1!K114</f>
        <v>0.92</v>
      </c>
    </row>
    <row r="115" spans="1:16" x14ac:dyDescent="0.35">
      <c r="A115" t="s">
        <v>165</v>
      </c>
      <c r="B115" t="str">
        <f>TRIM([1]Sheet1!AD115)</f>
        <v>Kevin Wong</v>
      </c>
      <c r="C115" t="str">
        <f>IF(UPPER(LEFT([1]Sheet1!W115,1))="F","FEMALE","MALE")</f>
        <v>MALE</v>
      </c>
      <c r="D115">
        <v>30</v>
      </c>
      <c r="E115" t="s">
        <v>32</v>
      </c>
      <c r="F115" t="s">
        <v>32</v>
      </c>
      <c r="G115" t="s">
        <v>33</v>
      </c>
      <c r="H115" t="s">
        <v>12</v>
      </c>
      <c r="I115" s="1">
        <v>3</v>
      </c>
      <c r="J115" s="1" t="str">
        <f t="shared" si="12"/>
        <v>0-5</v>
      </c>
      <c r="K115" s="1">
        <v>1.1000000000000001</v>
      </c>
      <c r="L115" s="2">
        <v>30</v>
      </c>
      <c r="M115" s="1">
        <f t="shared" si="14"/>
        <v>30</v>
      </c>
      <c r="N115" s="1">
        <f>M115</f>
        <v>30</v>
      </c>
      <c r="O115" t="s">
        <v>1054</v>
      </c>
    </row>
    <row r="116" spans="1:16" x14ac:dyDescent="0.35">
      <c r="A116" t="s">
        <v>166</v>
      </c>
      <c r="B116" t="str">
        <f>TRIM([1]Sheet1!AD116)</f>
        <v>Robert Andrews</v>
      </c>
      <c r="C116" t="str">
        <f>IF(UPPER(LEFT([1]Sheet1!W116,1))="F","FEMALE","MALE")</f>
        <v>MALE</v>
      </c>
      <c r="D116">
        <v>59</v>
      </c>
      <c r="E116" t="s">
        <v>32</v>
      </c>
      <c r="F116" t="s">
        <v>32</v>
      </c>
      <c r="G116" t="s">
        <v>33</v>
      </c>
      <c r="H116" t="s">
        <v>23</v>
      </c>
      <c r="I116" s="1">
        <v>13</v>
      </c>
      <c r="J116" s="1" t="str">
        <f t="shared" si="12"/>
        <v>11-16</v>
      </c>
      <c r="K116" s="1">
        <v>4.8</v>
      </c>
      <c r="L116" s="1" t="s">
        <v>1067</v>
      </c>
      <c r="M116" s="1" t="str">
        <f t="shared" si="14"/>
        <v>USD 20</v>
      </c>
      <c r="N116" s="1">
        <v>20</v>
      </c>
    </row>
    <row r="117" spans="1:16" x14ac:dyDescent="0.35">
      <c r="A117" t="s">
        <v>167</v>
      </c>
      <c r="B117" t="str">
        <f>TRIM([1]Sheet1!AD117)</f>
        <v>Jessica Torres</v>
      </c>
      <c r="C117" t="str">
        <f>IF(UPPER(LEFT([1]Sheet1!W117,1))="F","FEMALE","MALE")</f>
        <v>FEMALE</v>
      </c>
      <c r="D117">
        <v>32</v>
      </c>
      <c r="E117" t="s">
        <v>99</v>
      </c>
      <c r="F117" t="s">
        <v>99</v>
      </c>
      <c r="G117" t="s">
        <v>38</v>
      </c>
      <c r="H117" t="s">
        <v>23</v>
      </c>
      <c r="I117" s="1">
        <v>5</v>
      </c>
      <c r="J117" s="1" t="str">
        <f t="shared" si="12"/>
        <v>0-5</v>
      </c>
      <c r="L117" s="2">
        <v>30</v>
      </c>
      <c r="M117" s="1">
        <f t="shared" si="14"/>
        <v>30</v>
      </c>
      <c r="N117" s="1">
        <f>M117</f>
        <v>30</v>
      </c>
      <c r="O117" t="s">
        <v>1053</v>
      </c>
      <c r="P117" s="4">
        <f>[2]Sheet1!K117</f>
        <v>0.86</v>
      </c>
    </row>
    <row r="118" spans="1:16" x14ac:dyDescent="0.35">
      <c r="A118" t="s">
        <v>168</v>
      </c>
      <c r="B118" t="str">
        <f>TRIM([1]Sheet1!AD118)</f>
        <v>Teresa Kim</v>
      </c>
      <c r="C118" t="str">
        <f>IF(UPPER(LEFT([1]Sheet1!W118,1))="F","FEMALE","MALE")</f>
        <v>FEMALE</v>
      </c>
      <c r="D118">
        <v>57</v>
      </c>
      <c r="E118" t="s">
        <v>77</v>
      </c>
      <c r="F118" t="s">
        <v>77</v>
      </c>
      <c r="G118" t="s">
        <v>78</v>
      </c>
      <c r="H118" t="s">
        <v>39</v>
      </c>
      <c r="I118" s="1">
        <v>4</v>
      </c>
      <c r="J118" s="1" t="str">
        <f t="shared" si="12"/>
        <v>0-5</v>
      </c>
      <c r="K118" s="1">
        <v>3.4</v>
      </c>
      <c r="L118" s="1" t="s">
        <v>1064</v>
      </c>
      <c r="M118" s="1" t="str">
        <f t="shared" si="14"/>
        <v>USD 40</v>
      </c>
      <c r="N118" s="1">
        <v>40</v>
      </c>
      <c r="O118" t="s">
        <v>1054</v>
      </c>
      <c r="P118" s="4">
        <f>[2]Sheet1!K118</f>
        <v>0.68</v>
      </c>
    </row>
    <row r="119" spans="1:16" x14ac:dyDescent="0.35">
      <c r="A119" t="s">
        <v>169</v>
      </c>
      <c r="B119" t="str">
        <f>TRIM([1]Sheet1!AD119)</f>
        <v>Jon Morgan</v>
      </c>
      <c r="C119" t="str">
        <f>IF(UPPER(LEFT([1]Sheet1!W119,1))="F","FEMALE","MALE")</f>
        <v>MALE</v>
      </c>
      <c r="D119">
        <v>27</v>
      </c>
      <c r="E119" t="s">
        <v>10</v>
      </c>
      <c r="F119" t="s">
        <v>10</v>
      </c>
      <c r="G119" t="s">
        <v>11</v>
      </c>
      <c r="H119" t="s">
        <v>62</v>
      </c>
      <c r="I119" s="1">
        <v>7</v>
      </c>
      <c r="J119" s="1" t="str">
        <f t="shared" si="12"/>
        <v>5-10</v>
      </c>
      <c r="K119" s="1">
        <v>3.2</v>
      </c>
      <c r="L119" s="1" t="s">
        <v>1067</v>
      </c>
      <c r="M119" s="1" t="str">
        <f t="shared" si="14"/>
        <v>USD 20</v>
      </c>
      <c r="N119" s="1">
        <v>20</v>
      </c>
      <c r="O119" t="s">
        <v>1054</v>
      </c>
      <c r="P119" s="4">
        <f>[2]Sheet1!K119</f>
        <v>0.62</v>
      </c>
    </row>
    <row r="120" spans="1:16" x14ac:dyDescent="0.35">
      <c r="A120" t="s">
        <v>170</v>
      </c>
      <c r="B120" t="str">
        <f>TRIM([1]Sheet1!AD120)</f>
        <v>Gloria Chaney</v>
      </c>
      <c r="C120" t="str">
        <f>IF(UPPER(LEFT([1]Sheet1!W120,1))="F","FEMALE","MALE")</f>
        <v>FEMALE</v>
      </c>
      <c r="D120">
        <v>33</v>
      </c>
      <c r="E120" t="s">
        <v>25</v>
      </c>
      <c r="F120" t="s">
        <v>25</v>
      </c>
      <c r="G120" t="s">
        <v>26</v>
      </c>
      <c r="H120" t="s">
        <v>62</v>
      </c>
      <c r="I120" s="1">
        <v>13</v>
      </c>
      <c r="J120" s="1" t="str">
        <f t="shared" si="12"/>
        <v>11-16</v>
      </c>
      <c r="K120" s="1">
        <v>3.2</v>
      </c>
      <c r="L120" s="1">
        <v>20</v>
      </c>
      <c r="M120" s="1">
        <f t="shared" si="14"/>
        <v>20</v>
      </c>
      <c r="N120" s="1">
        <f t="shared" ref="N120:N123" si="20">M120</f>
        <v>20</v>
      </c>
      <c r="O120" t="s">
        <v>1053</v>
      </c>
    </row>
    <row r="121" spans="1:16" x14ac:dyDescent="0.35">
      <c r="A121" t="s">
        <v>171</v>
      </c>
      <c r="B121" t="str">
        <f>TRIM([1]Sheet1!AD121)</f>
        <v>Jesse Campbell</v>
      </c>
      <c r="C121" t="str">
        <f>IF(UPPER(LEFT([1]Sheet1!W121,1))="F","FEMALE","MALE")</f>
        <v>MALE</v>
      </c>
      <c r="D121">
        <v>29</v>
      </c>
      <c r="E121" t="s">
        <v>60</v>
      </c>
      <c r="F121" t="s">
        <v>60</v>
      </c>
      <c r="G121" t="s">
        <v>61</v>
      </c>
      <c r="H121" t="s">
        <v>27</v>
      </c>
      <c r="I121" s="1">
        <v>4</v>
      </c>
      <c r="J121" s="1" t="str">
        <f t="shared" si="12"/>
        <v>0-5</v>
      </c>
      <c r="K121" s="1">
        <v>0</v>
      </c>
      <c r="L121" s="1">
        <v>30</v>
      </c>
      <c r="M121" s="1">
        <f t="shared" si="14"/>
        <v>30</v>
      </c>
      <c r="N121" s="1">
        <f t="shared" si="20"/>
        <v>30</v>
      </c>
      <c r="O121" t="s">
        <v>1054</v>
      </c>
      <c r="P121" s="4">
        <f>[2]Sheet1!K121</f>
        <v>0.82</v>
      </c>
    </row>
    <row r="122" spans="1:16" x14ac:dyDescent="0.35">
      <c r="A122" t="s">
        <v>172</v>
      </c>
      <c r="B122" t="str">
        <f>TRIM([1]Sheet1!AD122)</f>
        <v>Allison Tucker MD</v>
      </c>
      <c r="C122" t="str">
        <f>IF(UPPER(LEFT([1]Sheet1!W122,1))="F","FEMALE","MALE")</f>
        <v>FEMALE</v>
      </c>
      <c r="D122">
        <v>36</v>
      </c>
      <c r="E122" t="s">
        <v>25</v>
      </c>
      <c r="F122" t="s">
        <v>25</v>
      </c>
      <c r="G122" t="s">
        <v>26</v>
      </c>
      <c r="H122" t="s">
        <v>39</v>
      </c>
      <c r="I122" s="1">
        <v>13</v>
      </c>
      <c r="J122" s="1" t="str">
        <f t="shared" si="12"/>
        <v>11-16</v>
      </c>
      <c r="L122" s="1">
        <v>75</v>
      </c>
      <c r="M122" s="1">
        <f t="shared" si="14"/>
        <v>75</v>
      </c>
      <c r="N122" s="1">
        <f t="shared" si="20"/>
        <v>75</v>
      </c>
      <c r="O122" t="s">
        <v>1054</v>
      </c>
    </row>
    <row r="123" spans="1:16" x14ac:dyDescent="0.35">
      <c r="A123" t="s">
        <v>173</v>
      </c>
      <c r="B123" t="str">
        <f>TRIM([1]Sheet1!AD123)</f>
        <v>Candice Petersen</v>
      </c>
      <c r="C123" t="str">
        <f>IF(UPPER(LEFT([1]Sheet1!W123,1))="F","FEMALE","MALE")</f>
        <v>FEMALE</v>
      </c>
      <c r="D123">
        <v>47</v>
      </c>
      <c r="E123" t="s">
        <v>6</v>
      </c>
      <c r="F123" t="s">
        <v>6</v>
      </c>
      <c r="G123" t="s">
        <v>7</v>
      </c>
      <c r="H123" t="s">
        <v>48</v>
      </c>
      <c r="I123" s="1">
        <v>5</v>
      </c>
      <c r="J123" s="1" t="str">
        <f t="shared" si="12"/>
        <v>0-5</v>
      </c>
      <c r="K123" s="1">
        <v>3.7</v>
      </c>
      <c r="L123" s="2">
        <v>40</v>
      </c>
      <c r="M123" s="1">
        <f t="shared" si="14"/>
        <v>40</v>
      </c>
      <c r="N123" s="1">
        <f t="shared" si="20"/>
        <v>40</v>
      </c>
      <c r="O123" t="s">
        <v>1053</v>
      </c>
      <c r="P123" s="3">
        <f>[2]Sheet1!K123/100</f>
        <v>0.93</v>
      </c>
    </row>
    <row r="124" spans="1:16" x14ac:dyDescent="0.35">
      <c r="A124" t="s">
        <v>174</v>
      </c>
      <c r="B124" t="str">
        <f>TRIM([1]Sheet1!AD124)</f>
        <v>Christopher Nichols</v>
      </c>
      <c r="C124" t="str">
        <f>IF(UPPER(LEFT([1]Sheet1!W124,1))="F","FEMALE","MALE")</f>
        <v>MALE</v>
      </c>
      <c r="D124">
        <v>48</v>
      </c>
      <c r="E124" t="s">
        <v>70</v>
      </c>
      <c r="F124" t="s">
        <v>70</v>
      </c>
      <c r="G124" t="s">
        <v>11</v>
      </c>
      <c r="H124" t="s">
        <v>62</v>
      </c>
      <c r="I124" s="1">
        <v>15</v>
      </c>
      <c r="J124" s="1" t="str">
        <f t="shared" si="12"/>
        <v>11-16</v>
      </c>
      <c r="K124" s="1">
        <v>1</v>
      </c>
      <c r="L124" s="1" t="s">
        <v>1065</v>
      </c>
      <c r="M124" s="1" t="str">
        <f t="shared" si="14"/>
        <v>USD 50</v>
      </c>
      <c r="N124" s="1">
        <v>50</v>
      </c>
      <c r="O124" t="s">
        <v>1054</v>
      </c>
      <c r="P124" s="4">
        <f>[2]Sheet1!K124</f>
        <v>0.64</v>
      </c>
    </row>
    <row r="125" spans="1:16" x14ac:dyDescent="0.35">
      <c r="A125" t="s">
        <v>175</v>
      </c>
      <c r="B125" t="str">
        <f>TRIM([1]Sheet1!AD125)</f>
        <v>Debra Garcia</v>
      </c>
      <c r="C125" t="str">
        <f>IF(UPPER(LEFT([1]Sheet1!W125,1))="F","FEMALE","MALE")</f>
        <v>FEMALE</v>
      </c>
      <c r="D125">
        <v>27</v>
      </c>
      <c r="E125" t="s">
        <v>96</v>
      </c>
      <c r="F125" t="s">
        <v>96</v>
      </c>
      <c r="G125" t="s">
        <v>97</v>
      </c>
      <c r="H125" t="s">
        <v>39</v>
      </c>
      <c r="I125" s="1">
        <v>8</v>
      </c>
      <c r="J125" s="1" t="str">
        <f t="shared" si="12"/>
        <v>5-10</v>
      </c>
      <c r="K125" s="1">
        <v>0</v>
      </c>
      <c r="L125" s="2">
        <v>50</v>
      </c>
      <c r="M125" s="1">
        <f t="shared" si="14"/>
        <v>50</v>
      </c>
      <c r="N125" s="1">
        <f t="shared" ref="N125:N131" si="21">M125</f>
        <v>50</v>
      </c>
    </row>
    <row r="126" spans="1:16" x14ac:dyDescent="0.35">
      <c r="A126" t="s">
        <v>176</v>
      </c>
      <c r="B126" t="str">
        <f>TRIM([1]Sheet1!AD126)</f>
        <v>Andrew Fuentes</v>
      </c>
      <c r="C126" t="str">
        <f>IF(UPPER(LEFT([1]Sheet1!W126,1))="F","FEMALE","MALE")</f>
        <v>MALE</v>
      </c>
      <c r="D126">
        <v>34</v>
      </c>
      <c r="E126" t="s">
        <v>10</v>
      </c>
      <c r="F126" t="s">
        <v>10</v>
      </c>
      <c r="G126" t="s">
        <v>11</v>
      </c>
      <c r="H126" t="s">
        <v>18</v>
      </c>
      <c r="I126" s="1">
        <v>10</v>
      </c>
      <c r="J126" s="1" t="str">
        <f t="shared" si="12"/>
        <v>5-10</v>
      </c>
      <c r="K126" s="1">
        <v>1.7</v>
      </c>
      <c r="M126" s="1">
        <f t="shared" si="14"/>
        <v>0</v>
      </c>
      <c r="N126" s="1">
        <f t="shared" si="21"/>
        <v>0</v>
      </c>
      <c r="O126" t="s">
        <v>1053</v>
      </c>
      <c r="P126" s="4">
        <f>[2]Sheet1!K126</f>
        <v>0.96</v>
      </c>
    </row>
    <row r="127" spans="1:16" x14ac:dyDescent="0.35">
      <c r="A127" t="s">
        <v>177</v>
      </c>
      <c r="B127" t="str">
        <f>TRIM([1]Sheet1!AD127)</f>
        <v>Jason Carter</v>
      </c>
      <c r="C127" t="str">
        <f>IF(UPPER(LEFT([1]Sheet1!W127,1))="F","FEMALE","MALE")</f>
        <v>MALE</v>
      </c>
      <c r="D127">
        <v>49</v>
      </c>
      <c r="E127" t="s">
        <v>60</v>
      </c>
      <c r="F127" t="s">
        <v>60</v>
      </c>
      <c r="G127" t="s">
        <v>61</v>
      </c>
      <c r="H127" t="s">
        <v>27</v>
      </c>
      <c r="I127" s="1">
        <v>19</v>
      </c>
      <c r="J127" s="1" t="str">
        <f t="shared" si="12"/>
        <v xml:space="preserve"> 16-20</v>
      </c>
      <c r="K127" s="1">
        <v>5</v>
      </c>
      <c r="M127" s="1">
        <f t="shared" si="14"/>
        <v>0</v>
      </c>
      <c r="N127" s="1">
        <f t="shared" si="21"/>
        <v>0</v>
      </c>
      <c r="O127" t="s">
        <v>1054</v>
      </c>
      <c r="P127" s="4">
        <f>[2]Sheet1!K127</f>
        <v>0.83</v>
      </c>
    </row>
    <row r="128" spans="1:16" x14ac:dyDescent="0.35">
      <c r="A128" t="s">
        <v>178</v>
      </c>
      <c r="B128" t="str">
        <f>TRIM([1]Sheet1!AD128)</f>
        <v>Austin Romero</v>
      </c>
      <c r="C128" t="str">
        <f>IF(UPPER(LEFT([1]Sheet1!W128,1))="F","FEMALE","MALE")</f>
        <v>MALE</v>
      </c>
      <c r="D128">
        <v>30</v>
      </c>
      <c r="E128" t="s">
        <v>57</v>
      </c>
      <c r="F128" t="s">
        <v>57</v>
      </c>
      <c r="G128" t="s">
        <v>58</v>
      </c>
      <c r="H128" t="s">
        <v>12</v>
      </c>
      <c r="I128" s="1">
        <v>10</v>
      </c>
      <c r="J128" s="1" t="str">
        <f t="shared" si="12"/>
        <v>5-10</v>
      </c>
      <c r="K128" s="1">
        <v>1.7</v>
      </c>
      <c r="L128" s="2">
        <v>100</v>
      </c>
      <c r="M128" s="1">
        <f t="shared" si="14"/>
        <v>100</v>
      </c>
      <c r="N128" s="1">
        <f t="shared" si="21"/>
        <v>100</v>
      </c>
      <c r="O128" t="s">
        <v>1054</v>
      </c>
      <c r="P128" s="4">
        <f>[2]Sheet1!K128</f>
        <v>0.64</v>
      </c>
    </row>
    <row r="129" spans="1:16" x14ac:dyDescent="0.35">
      <c r="A129" t="s">
        <v>179</v>
      </c>
      <c r="B129" t="str">
        <f>TRIM([1]Sheet1!AD129)</f>
        <v>Clayton Burns</v>
      </c>
      <c r="C129" t="str">
        <f>IF(UPPER(LEFT([1]Sheet1!W129,1))="F","FEMALE","MALE")</f>
        <v>MALE</v>
      </c>
      <c r="D129">
        <v>31</v>
      </c>
      <c r="E129" t="s">
        <v>77</v>
      </c>
      <c r="F129" t="s">
        <v>77</v>
      </c>
      <c r="G129" t="s">
        <v>78</v>
      </c>
      <c r="H129" t="s">
        <v>16</v>
      </c>
      <c r="I129" s="1">
        <v>8</v>
      </c>
      <c r="J129" s="1" t="str">
        <f t="shared" si="12"/>
        <v>5-10</v>
      </c>
      <c r="K129" s="1">
        <v>4.4000000000000004</v>
      </c>
      <c r="L129" s="1">
        <v>40</v>
      </c>
      <c r="M129" s="1">
        <f t="shared" si="14"/>
        <v>40</v>
      </c>
      <c r="N129" s="1">
        <f t="shared" si="21"/>
        <v>40</v>
      </c>
      <c r="O129" t="s">
        <v>1053</v>
      </c>
      <c r="P129" s="4">
        <f>[2]Sheet1!K129</f>
        <v>0.7</v>
      </c>
    </row>
    <row r="130" spans="1:16" x14ac:dyDescent="0.35">
      <c r="A130" t="s">
        <v>180</v>
      </c>
      <c r="B130" t="str">
        <f>TRIM([1]Sheet1!AD130)</f>
        <v>Jonathan Clark</v>
      </c>
      <c r="C130" t="str">
        <f>IF(UPPER(LEFT([1]Sheet1!W130,1))="F","FEMALE","MALE")</f>
        <v>MALE</v>
      </c>
      <c r="D130">
        <v>58</v>
      </c>
      <c r="E130" t="s">
        <v>96</v>
      </c>
      <c r="F130" t="s">
        <v>96</v>
      </c>
      <c r="G130" t="s">
        <v>97</v>
      </c>
      <c r="H130" t="s">
        <v>62</v>
      </c>
      <c r="I130" s="1">
        <v>9</v>
      </c>
      <c r="J130" s="1" t="str">
        <f t="shared" ref="J130:J193" si="22">_xlfn.IFS(I130&lt;=5,"0-5",I130&lt;=10,"5-10",I130&lt;=16,"11-16",I130&lt;=20," 16-20",I130&lt;=25,"21- 25",I130&lt;=30,"26-30",I130&gt;30,"31+")</f>
        <v>5-10</v>
      </c>
      <c r="K130" s="1">
        <v>0</v>
      </c>
      <c r="L130" s="1">
        <v>20</v>
      </c>
      <c r="M130" s="1">
        <f t="shared" si="14"/>
        <v>20</v>
      </c>
      <c r="N130" s="1">
        <f t="shared" si="21"/>
        <v>20</v>
      </c>
      <c r="O130" t="s">
        <v>1053</v>
      </c>
      <c r="P130" s="4">
        <f>[2]Sheet1!K130</f>
        <v>0.65</v>
      </c>
    </row>
    <row r="131" spans="1:16" x14ac:dyDescent="0.35">
      <c r="A131" t="s">
        <v>181</v>
      </c>
      <c r="B131" t="str">
        <f>TRIM([1]Sheet1!AD131)</f>
        <v>Alexander Griffin</v>
      </c>
      <c r="C131" t="str">
        <f>IF(UPPER(LEFT([1]Sheet1!W131,1))="F","FEMALE","MALE")</f>
        <v>MALE</v>
      </c>
      <c r="D131">
        <v>47</v>
      </c>
      <c r="E131" t="s">
        <v>74</v>
      </c>
      <c r="F131" t="s">
        <v>74</v>
      </c>
      <c r="G131" t="s">
        <v>75</v>
      </c>
      <c r="H131" t="s">
        <v>62</v>
      </c>
      <c r="I131" s="1">
        <v>13</v>
      </c>
      <c r="J131" s="1" t="str">
        <f t="shared" si="22"/>
        <v>11-16</v>
      </c>
      <c r="K131" s="1">
        <v>3.4</v>
      </c>
      <c r="L131" s="1">
        <v>40</v>
      </c>
      <c r="M131" s="1">
        <f t="shared" ref="M131:M194" si="23">L131</f>
        <v>40</v>
      </c>
      <c r="N131" s="1">
        <f t="shared" si="21"/>
        <v>40</v>
      </c>
      <c r="P131" s="4">
        <f>[2]Sheet1!K131</f>
        <v>0.67</v>
      </c>
    </row>
    <row r="132" spans="1:16" x14ac:dyDescent="0.35">
      <c r="A132" t="s">
        <v>182</v>
      </c>
      <c r="B132" t="str">
        <f>TRIM([1]Sheet1!AD132)</f>
        <v>Shelly Whitehead</v>
      </c>
      <c r="C132" t="str">
        <f>IF(UPPER(LEFT([1]Sheet1!W132,1))="F","FEMALE","MALE")</f>
        <v>FEMALE</v>
      </c>
      <c r="D132">
        <v>45</v>
      </c>
      <c r="E132" t="s">
        <v>35</v>
      </c>
      <c r="F132" t="s">
        <v>35</v>
      </c>
      <c r="G132" t="s">
        <v>11</v>
      </c>
      <c r="H132" t="s">
        <v>41</v>
      </c>
      <c r="I132" s="1">
        <v>14</v>
      </c>
      <c r="J132" s="1" t="str">
        <f t="shared" si="22"/>
        <v>11-16</v>
      </c>
      <c r="K132" s="1">
        <v>1.1000000000000001</v>
      </c>
      <c r="L132" s="1" t="s">
        <v>1062</v>
      </c>
      <c r="M132" s="1" t="str">
        <f t="shared" si="23"/>
        <v>USD 100</v>
      </c>
      <c r="N132" s="1">
        <v>100</v>
      </c>
      <c r="O132" t="s">
        <v>1053</v>
      </c>
      <c r="P132" s="3">
        <f>[2]Sheet1!K132/100</f>
        <v>0.93</v>
      </c>
    </row>
    <row r="133" spans="1:16" x14ac:dyDescent="0.35">
      <c r="A133" t="s">
        <v>183</v>
      </c>
      <c r="B133" t="str">
        <f>TRIM([1]Sheet1!AD133)</f>
        <v>Kaitlyn Davis</v>
      </c>
      <c r="C133" t="str">
        <f>IF(UPPER(LEFT([1]Sheet1!W133,1))="F","FEMALE","MALE")</f>
        <v>FEMALE</v>
      </c>
      <c r="D133">
        <v>57</v>
      </c>
      <c r="E133" t="s">
        <v>74</v>
      </c>
      <c r="F133" t="s">
        <v>74</v>
      </c>
      <c r="G133" t="s">
        <v>75</v>
      </c>
      <c r="H133" t="s">
        <v>62</v>
      </c>
      <c r="I133" s="1">
        <v>0</v>
      </c>
      <c r="J133" s="1" t="str">
        <f t="shared" si="22"/>
        <v>0-5</v>
      </c>
      <c r="K133" s="1">
        <v>1.6</v>
      </c>
      <c r="L133" s="1">
        <v>50</v>
      </c>
      <c r="M133" s="1">
        <f t="shared" si="23"/>
        <v>50</v>
      </c>
      <c r="N133" s="1">
        <f t="shared" ref="N133:N137" si="24">M133</f>
        <v>50</v>
      </c>
      <c r="O133" t="s">
        <v>1053</v>
      </c>
      <c r="P133" s="4">
        <f>[2]Sheet1!K133</f>
        <v>0.6</v>
      </c>
    </row>
    <row r="134" spans="1:16" x14ac:dyDescent="0.35">
      <c r="A134" t="s">
        <v>184</v>
      </c>
      <c r="B134" t="str">
        <f>TRIM([1]Sheet1!AD134)</f>
        <v>Christopher Jones</v>
      </c>
      <c r="C134" t="str">
        <f>IF(UPPER(LEFT([1]Sheet1!W134,1))="F","FEMALE","MALE")</f>
        <v>MALE</v>
      </c>
      <c r="D134">
        <v>50</v>
      </c>
      <c r="E134" t="s">
        <v>50</v>
      </c>
      <c r="F134" t="s">
        <v>50</v>
      </c>
      <c r="G134" t="s">
        <v>51</v>
      </c>
      <c r="H134" t="s">
        <v>18</v>
      </c>
      <c r="I134" s="1">
        <v>22</v>
      </c>
      <c r="J134" s="1" t="str">
        <f t="shared" si="22"/>
        <v>21- 25</v>
      </c>
      <c r="K134" s="1">
        <v>4.0999999999999996</v>
      </c>
      <c r="L134" s="1">
        <v>100</v>
      </c>
      <c r="M134" s="1">
        <f t="shared" si="23"/>
        <v>100</v>
      </c>
      <c r="N134" s="1">
        <f t="shared" si="24"/>
        <v>100</v>
      </c>
      <c r="O134" t="s">
        <v>1053</v>
      </c>
      <c r="P134" s="4">
        <f>[2]Sheet1!K134</f>
        <v>0.62</v>
      </c>
    </row>
    <row r="135" spans="1:16" x14ac:dyDescent="0.35">
      <c r="A135" t="s">
        <v>185</v>
      </c>
      <c r="B135" t="str">
        <f>TRIM([1]Sheet1!AD135)</f>
        <v>Cindy Jacobs</v>
      </c>
      <c r="C135" t="str">
        <f>IF(UPPER(LEFT([1]Sheet1!W135,1))="F","FEMALE","MALE")</f>
        <v>FEMALE</v>
      </c>
      <c r="E135" t="s">
        <v>57</v>
      </c>
      <c r="F135" t="s">
        <v>57</v>
      </c>
      <c r="G135" t="s">
        <v>58</v>
      </c>
      <c r="H135" t="s">
        <v>62</v>
      </c>
      <c r="I135" s="1">
        <v>4</v>
      </c>
      <c r="J135" s="1" t="str">
        <f t="shared" si="22"/>
        <v>0-5</v>
      </c>
      <c r="K135" s="1">
        <v>2.5</v>
      </c>
      <c r="M135" s="1">
        <f t="shared" si="23"/>
        <v>0</v>
      </c>
      <c r="N135" s="1">
        <f t="shared" si="24"/>
        <v>0</v>
      </c>
      <c r="P135" s="4">
        <f>[2]Sheet1!K135</f>
        <v>0.7</v>
      </c>
    </row>
    <row r="136" spans="1:16" x14ac:dyDescent="0.35">
      <c r="A136" t="s">
        <v>186</v>
      </c>
      <c r="B136" t="str">
        <f>TRIM([1]Sheet1!AD136)</f>
        <v>Penny Day</v>
      </c>
      <c r="C136" t="str">
        <f>IF(UPPER(LEFT([1]Sheet1!W136,1))="F","FEMALE","MALE")</f>
        <v>FEMALE</v>
      </c>
      <c r="D136">
        <v>45</v>
      </c>
      <c r="E136" t="s">
        <v>25</v>
      </c>
      <c r="F136" t="s">
        <v>25</v>
      </c>
      <c r="G136" t="s">
        <v>26</v>
      </c>
      <c r="H136" t="s">
        <v>8</v>
      </c>
      <c r="I136" s="1">
        <v>22</v>
      </c>
      <c r="J136" s="1" t="str">
        <f t="shared" si="22"/>
        <v>21- 25</v>
      </c>
      <c r="K136" s="1">
        <v>4</v>
      </c>
      <c r="L136" s="2">
        <v>100</v>
      </c>
      <c r="M136" s="1">
        <f t="shared" si="23"/>
        <v>100</v>
      </c>
      <c r="N136" s="1">
        <f t="shared" si="24"/>
        <v>100</v>
      </c>
      <c r="O136" t="s">
        <v>1054</v>
      </c>
      <c r="P136" s="4">
        <f>[2]Sheet1!K136</f>
        <v>0.75</v>
      </c>
    </row>
    <row r="137" spans="1:16" x14ac:dyDescent="0.35">
      <c r="A137" t="s">
        <v>187</v>
      </c>
      <c r="B137" t="str">
        <f>TRIM([1]Sheet1!AD137)</f>
        <v>Thomas Ingram</v>
      </c>
      <c r="C137" t="str">
        <f>IF(UPPER(LEFT([1]Sheet1!W137,1))="F","FEMALE","MALE")</f>
        <v>MALE</v>
      </c>
      <c r="D137">
        <v>60</v>
      </c>
      <c r="E137" t="s">
        <v>85</v>
      </c>
      <c r="F137" t="s">
        <v>85</v>
      </c>
      <c r="G137" t="s">
        <v>86</v>
      </c>
      <c r="H137" t="s">
        <v>41</v>
      </c>
      <c r="I137" s="1">
        <v>39</v>
      </c>
      <c r="J137" s="1" t="str">
        <f t="shared" si="22"/>
        <v>31+</v>
      </c>
      <c r="K137" s="1">
        <v>1.4</v>
      </c>
      <c r="L137" s="1">
        <v>75</v>
      </c>
      <c r="M137" s="1">
        <f t="shared" si="23"/>
        <v>75</v>
      </c>
      <c r="N137" s="1">
        <f t="shared" si="24"/>
        <v>75</v>
      </c>
      <c r="O137" t="s">
        <v>1053</v>
      </c>
      <c r="P137" s="4">
        <f>[2]Sheet1!K137</f>
        <v>0.7</v>
      </c>
    </row>
    <row r="138" spans="1:16" x14ac:dyDescent="0.35">
      <c r="A138" t="s">
        <v>188</v>
      </c>
      <c r="B138" t="str">
        <f>TRIM([1]Sheet1!AD138)</f>
        <v>Donna Hansen</v>
      </c>
      <c r="C138" t="str">
        <f>IF(UPPER(LEFT([1]Sheet1!W138,1))="F","FEMALE","MALE")</f>
        <v>FEMALE</v>
      </c>
      <c r="D138">
        <v>43</v>
      </c>
      <c r="E138" t="s">
        <v>35</v>
      </c>
      <c r="F138" t="s">
        <v>35</v>
      </c>
      <c r="G138" t="s">
        <v>11</v>
      </c>
      <c r="H138" t="s">
        <v>41</v>
      </c>
      <c r="I138" s="1">
        <v>5</v>
      </c>
      <c r="J138" s="1" t="str">
        <f t="shared" si="22"/>
        <v>0-5</v>
      </c>
      <c r="L138" s="1" t="s">
        <v>1065</v>
      </c>
      <c r="M138" s="1" t="str">
        <f t="shared" si="23"/>
        <v>USD 50</v>
      </c>
      <c r="N138" s="1">
        <v>50</v>
      </c>
      <c r="O138" t="s">
        <v>1054</v>
      </c>
      <c r="P138" s="4">
        <f>[2]Sheet1!K138</f>
        <v>0.84</v>
      </c>
    </row>
    <row r="139" spans="1:16" x14ac:dyDescent="0.35">
      <c r="A139" t="s">
        <v>189</v>
      </c>
      <c r="B139" t="str">
        <f>TRIM([1]Sheet1!AD139)</f>
        <v>Donna Bailey</v>
      </c>
      <c r="C139" t="str">
        <f>IF(UPPER(LEFT([1]Sheet1!W139,1))="F","FEMALE","MALE")</f>
        <v>FEMALE</v>
      </c>
      <c r="D139">
        <v>39</v>
      </c>
      <c r="E139" t="s">
        <v>74</v>
      </c>
      <c r="F139" t="s">
        <v>74</v>
      </c>
      <c r="G139" t="s">
        <v>75</v>
      </c>
      <c r="H139" t="s">
        <v>41</v>
      </c>
      <c r="I139" s="1">
        <v>5</v>
      </c>
      <c r="J139" s="1" t="str">
        <f t="shared" si="22"/>
        <v>0-5</v>
      </c>
      <c r="K139" s="1">
        <v>1.2</v>
      </c>
      <c r="L139" s="1" t="s">
        <v>1064</v>
      </c>
      <c r="M139" s="1" t="str">
        <f t="shared" si="23"/>
        <v>USD 40</v>
      </c>
      <c r="N139" s="1">
        <v>40</v>
      </c>
      <c r="O139" t="s">
        <v>1053</v>
      </c>
      <c r="P139" s="3">
        <f>[2]Sheet1!K139/100</f>
        <v>0.83</v>
      </c>
    </row>
    <row r="140" spans="1:16" x14ac:dyDescent="0.35">
      <c r="A140" t="s">
        <v>190</v>
      </c>
      <c r="B140" t="str">
        <f>TRIM([1]Sheet1!AD140)</f>
        <v>Joshua Armstrong</v>
      </c>
      <c r="C140" t="str">
        <f>IF(UPPER(LEFT([1]Sheet1!W140,1))="F","FEMALE","MALE")</f>
        <v>MALE</v>
      </c>
      <c r="D140">
        <v>26</v>
      </c>
      <c r="E140" t="s">
        <v>99</v>
      </c>
      <c r="F140" t="s">
        <v>99</v>
      </c>
      <c r="G140" t="s">
        <v>38</v>
      </c>
      <c r="H140" t="s">
        <v>39</v>
      </c>
      <c r="I140" s="1">
        <v>5</v>
      </c>
      <c r="J140" s="1" t="str">
        <f t="shared" si="22"/>
        <v>0-5</v>
      </c>
      <c r="K140" s="1">
        <v>0</v>
      </c>
      <c r="L140" s="1">
        <v>50</v>
      </c>
      <c r="M140" s="1">
        <f t="shared" si="23"/>
        <v>50</v>
      </c>
      <c r="N140" s="1">
        <f t="shared" ref="N140:N142" si="25">M140</f>
        <v>50</v>
      </c>
      <c r="O140" t="s">
        <v>1053</v>
      </c>
    </row>
    <row r="141" spans="1:16" x14ac:dyDescent="0.35">
      <c r="A141" t="s">
        <v>191</v>
      </c>
      <c r="B141" t="str">
        <f>TRIM([1]Sheet1!AD141)</f>
        <v>Jonathan Garza</v>
      </c>
      <c r="C141" t="str">
        <f>IF(UPPER(LEFT([1]Sheet1!W141,1))="F","FEMALE","MALE")</f>
        <v>MALE</v>
      </c>
      <c r="D141">
        <v>31</v>
      </c>
      <c r="E141" t="s">
        <v>14</v>
      </c>
      <c r="F141" t="s">
        <v>14</v>
      </c>
      <c r="G141" t="s">
        <v>15</v>
      </c>
      <c r="H141" t="s">
        <v>41</v>
      </c>
      <c r="I141" s="1">
        <v>11</v>
      </c>
      <c r="J141" s="1" t="str">
        <f t="shared" si="22"/>
        <v>11-16</v>
      </c>
      <c r="K141" s="1">
        <v>3.1</v>
      </c>
      <c r="L141" s="1">
        <v>50</v>
      </c>
      <c r="M141" s="1">
        <f t="shared" si="23"/>
        <v>50</v>
      </c>
      <c r="N141" s="1">
        <f t="shared" si="25"/>
        <v>50</v>
      </c>
      <c r="O141" t="s">
        <v>1053</v>
      </c>
      <c r="P141" s="4">
        <f>[2]Sheet1!K141</f>
        <v>0.88</v>
      </c>
    </row>
    <row r="142" spans="1:16" x14ac:dyDescent="0.35">
      <c r="A142" t="s">
        <v>192</v>
      </c>
      <c r="B142" t="str">
        <f>TRIM([1]Sheet1!AD142)</f>
        <v>Charles Jones</v>
      </c>
      <c r="C142" t="str">
        <f>IF(UPPER(LEFT([1]Sheet1!W142,1))="F","FEMALE","MALE")</f>
        <v>MALE</v>
      </c>
      <c r="D142">
        <v>52</v>
      </c>
      <c r="E142" t="s">
        <v>74</v>
      </c>
      <c r="F142" t="s">
        <v>74</v>
      </c>
      <c r="G142" t="s">
        <v>75</v>
      </c>
      <c r="H142" t="s">
        <v>39</v>
      </c>
      <c r="I142" s="1">
        <v>15</v>
      </c>
      <c r="J142" s="1" t="str">
        <f t="shared" si="22"/>
        <v>11-16</v>
      </c>
      <c r="K142" s="1">
        <v>0</v>
      </c>
      <c r="L142" s="1">
        <v>50</v>
      </c>
      <c r="M142" s="1">
        <f t="shared" si="23"/>
        <v>50</v>
      </c>
      <c r="N142" s="1">
        <f t="shared" si="25"/>
        <v>50</v>
      </c>
      <c r="O142" t="s">
        <v>1054</v>
      </c>
      <c r="P142" s="4">
        <f>[2]Sheet1!K142</f>
        <v>0.81</v>
      </c>
    </row>
    <row r="143" spans="1:16" x14ac:dyDescent="0.35">
      <c r="A143" t="s">
        <v>193</v>
      </c>
      <c r="B143" t="str">
        <f>TRIM([1]Sheet1!AD143)</f>
        <v>Lindsey Miles</v>
      </c>
      <c r="C143" t="str">
        <f>IF(UPPER(LEFT([1]Sheet1!W143,1))="F","FEMALE","MALE")</f>
        <v>FEMALE</v>
      </c>
      <c r="D143">
        <v>34</v>
      </c>
      <c r="E143" t="s">
        <v>50</v>
      </c>
      <c r="F143" t="s">
        <v>50</v>
      </c>
      <c r="G143" t="s">
        <v>51</v>
      </c>
      <c r="H143" t="s">
        <v>27</v>
      </c>
      <c r="I143" s="1">
        <v>5</v>
      </c>
      <c r="J143" s="1" t="str">
        <f t="shared" si="22"/>
        <v>0-5</v>
      </c>
      <c r="K143" s="1">
        <v>2.2000000000000002</v>
      </c>
      <c r="L143" s="1" t="s">
        <v>1067</v>
      </c>
      <c r="M143" s="1" t="str">
        <f t="shared" si="23"/>
        <v>USD 20</v>
      </c>
      <c r="N143" s="1">
        <v>20</v>
      </c>
      <c r="O143" t="s">
        <v>1054</v>
      </c>
      <c r="P143" s="4">
        <f>[2]Sheet1!K143</f>
        <v>0.8</v>
      </c>
    </row>
    <row r="144" spans="1:16" x14ac:dyDescent="0.35">
      <c r="A144" t="s">
        <v>194</v>
      </c>
      <c r="B144" t="str">
        <f>TRIM([1]Sheet1!AD144)</f>
        <v>Eduardo Reed</v>
      </c>
      <c r="C144" t="str">
        <f>IF(UPPER(LEFT([1]Sheet1!W144,1))="F","FEMALE","MALE")</f>
        <v>MALE</v>
      </c>
      <c r="D144">
        <v>45</v>
      </c>
      <c r="E144" t="s">
        <v>35</v>
      </c>
      <c r="F144" t="s">
        <v>35</v>
      </c>
      <c r="G144" t="s">
        <v>11</v>
      </c>
      <c r="H144" t="s">
        <v>18</v>
      </c>
      <c r="I144" s="1">
        <v>7</v>
      </c>
      <c r="J144" s="1" t="str">
        <f t="shared" si="22"/>
        <v>5-10</v>
      </c>
      <c r="K144" s="1">
        <v>3</v>
      </c>
      <c r="L144" s="1">
        <v>75</v>
      </c>
      <c r="M144" s="1">
        <f t="shared" si="23"/>
        <v>75</v>
      </c>
      <c r="N144" s="1">
        <f t="shared" ref="N144:N145" si="26">M144</f>
        <v>75</v>
      </c>
      <c r="O144" t="s">
        <v>1054</v>
      </c>
      <c r="P144" s="4">
        <f>[2]Sheet1!K144</f>
        <v>0.67</v>
      </c>
    </row>
    <row r="145" spans="1:16" x14ac:dyDescent="0.35">
      <c r="A145" t="s">
        <v>195</v>
      </c>
      <c r="B145" t="str">
        <f>TRIM([1]Sheet1!AD145)</f>
        <v>Lee Fowler</v>
      </c>
      <c r="C145" t="str">
        <f>IF(UPPER(LEFT([1]Sheet1!W145,1))="F","FEMALE","MALE")</f>
        <v>MALE</v>
      </c>
      <c r="D145">
        <v>46</v>
      </c>
      <c r="E145" t="s">
        <v>35</v>
      </c>
      <c r="F145" t="s">
        <v>35</v>
      </c>
      <c r="G145" t="s">
        <v>11</v>
      </c>
      <c r="H145" t="s">
        <v>41</v>
      </c>
      <c r="I145" s="1">
        <v>9</v>
      </c>
      <c r="J145" s="1" t="str">
        <f t="shared" si="22"/>
        <v>5-10</v>
      </c>
      <c r="K145" s="1">
        <v>0</v>
      </c>
      <c r="L145" s="2">
        <v>20</v>
      </c>
      <c r="M145" s="1">
        <f t="shared" si="23"/>
        <v>20</v>
      </c>
      <c r="N145" s="1">
        <f t="shared" si="26"/>
        <v>20</v>
      </c>
      <c r="O145" t="s">
        <v>1053</v>
      </c>
      <c r="P145" s="4">
        <f>[2]Sheet1!K145</f>
        <v>0.82</v>
      </c>
    </row>
    <row r="146" spans="1:16" x14ac:dyDescent="0.35">
      <c r="A146" t="s">
        <v>196</v>
      </c>
      <c r="B146" t="str">
        <f>TRIM([1]Sheet1!AD146)</f>
        <v>Steven Jones</v>
      </c>
      <c r="C146" t="str">
        <f>IF(UPPER(LEFT([1]Sheet1!W146,1))="F","FEMALE","MALE")</f>
        <v>MALE</v>
      </c>
      <c r="D146">
        <v>56</v>
      </c>
      <c r="E146" t="s">
        <v>74</v>
      </c>
      <c r="F146" t="s">
        <v>74</v>
      </c>
      <c r="G146" t="s">
        <v>75</v>
      </c>
      <c r="H146" t="s">
        <v>39</v>
      </c>
      <c r="I146" s="1">
        <v>21</v>
      </c>
      <c r="J146" s="1" t="str">
        <f t="shared" si="22"/>
        <v>21- 25</v>
      </c>
      <c r="K146" s="1">
        <v>0</v>
      </c>
      <c r="L146" s="1" t="s">
        <v>1062</v>
      </c>
      <c r="M146" s="1" t="str">
        <f t="shared" si="23"/>
        <v>USD 100</v>
      </c>
      <c r="N146" s="1">
        <v>100</v>
      </c>
      <c r="O146" t="s">
        <v>1054</v>
      </c>
      <c r="P146" s="3">
        <f>[2]Sheet1!K146/100</f>
        <v>0.78</v>
      </c>
    </row>
    <row r="147" spans="1:16" x14ac:dyDescent="0.35">
      <c r="A147" t="s">
        <v>197</v>
      </c>
      <c r="B147" t="str">
        <f>TRIM([1]Sheet1!AD147)</f>
        <v>Ashley Chen</v>
      </c>
      <c r="C147" t="str">
        <f>IF(UPPER(LEFT([1]Sheet1!W147,1))="F","FEMALE","MALE")</f>
        <v>FEMALE</v>
      </c>
      <c r="D147">
        <v>59</v>
      </c>
      <c r="E147" t="s">
        <v>14</v>
      </c>
      <c r="F147" t="s">
        <v>14</v>
      </c>
      <c r="G147" t="s">
        <v>15</v>
      </c>
      <c r="H147" t="s">
        <v>23</v>
      </c>
      <c r="I147" s="1">
        <v>7</v>
      </c>
      <c r="J147" s="1" t="str">
        <f t="shared" si="22"/>
        <v>5-10</v>
      </c>
      <c r="K147" s="1">
        <v>1.4</v>
      </c>
      <c r="L147" s="2">
        <v>40</v>
      </c>
      <c r="M147" s="1">
        <f t="shared" si="23"/>
        <v>40</v>
      </c>
      <c r="N147" s="1">
        <f t="shared" ref="N147:N151" si="27">M147</f>
        <v>40</v>
      </c>
      <c r="O147" t="s">
        <v>1053</v>
      </c>
      <c r="P147" s="4">
        <f>[2]Sheet1!K147</f>
        <v>0.81</v>
      </c>
    </row>
    <row r="148" spans="1:16" x14ac:dyDescent="0.35">
      <c r="A148" t="s">
        <v>198</v>
      </c>
      <c r="B148" t="str">
        <f>TRIM([1]Sheet1!AD148)</f>
        <v>Erica Davis</v>
      </c>
      <c r="C148" t="str">
        <f>IF(UPPER(LEFT([1]Sheet1!W148,1))="F","FEMALE","MALE")</f>
        <v>FEMALE</v>
      </c>
      <c r="D148">
        <v>54</v>
      </c>
      <c r="E148" t="s">
        <v>77</v>
      </c>
      <c r="F148" t="s">
        <v>77</v>
      </c>
      <c r="G148" t="s">
        <v>78</v>
      </c>
      <c r="H148" t="s">
        <v>8</v>
      </c>
      <c r="I148" s="1">
        <v>4</v>
      </c>
      <c r="J148" s="1" t="str">
        <f t="shared" si="22"/>
        <v>0-5</v>
      </c>
      <c r="K148" s="1">
        <v>1.4</v>
      </c>
      <c r="M148" s="1">
        <f t="shared" si="23"/>
        <v>0</v>
      </c>
      <c r="N148" s="1">
        <f t="shared" si="27"/>
        <v>0</v>
      </c>
      <c r="O148" t="s">
        <v>1054</v>
      </c>
      <c r="P148" s="4">
        <f>[2]Sheet1!K148</f>
        <v>0.74</v>
      </c>
    </row>
    <row r="149" spans="1:16" x14ac:dyDescent="0.35">
      <c r="A149" t="s">
        <v>199</v>
      </c>
      <c r="B149" t="str">
        <f>TRIM([1]Sheet1!AD149)</f>
        <v>Wayne Gonzales</v>
      </c>
      <c r="C149" t="str">
        <f>IF(UPPER(LEFT([1]Sheet1!W149,1))="F","FEMALE","MALE")</f>
        <v>MALE</v>
      </c>
      <c r="D149">
        <v>36</v>
      </c>
      <c r="E149" t="s">
        <v>14</v>
      </c>
      <c r="F149" t="s">
        <v>14</v>
      </c>
      <c r="G149" t="s">
        <v>15</v>
      </c>
      <c r="H149" t="s">
        <v>39</v>
      </c>
      <c r="I149" s="1">
        <v>7</v>
      </c>
      <c r="J149" s="1" t="str">
        <f t="shared" si="22"/>
        <v>5-10</v>
      </c>
      <c r="K149" s="1">
        <v>0</v>
      </c>
      <c r="L149" s="1">
        <v>30</v>
      </c>
      <c r="M149" s="1">
        <f t="shared" si="23"/>
        <v>30</v>
      </c>
      <c r="N149" s="1">
        <f t="shared" si="27"/>
        <v>30</v>
      </c>
      <c r="O149" t="s">
        <v>1053</v>
      </c>
      <c r="P149" s="4">
        <f>[2]Sheet1!K149</f>
        <v>0.88</v>
      </c>
    </row>
    <row r="150" spans="1:16" x14ac:dyDescent="0.35">
      <c r="A150" t="s">
        <v>200</v>
      </c>
      <c r="B150" t="str">
        <f>TRIM([1]Sheet1!AD150)</f>
        <v>Gary Ballard</v>
      </c>
      <c r="C150" t="str">
        <f>IF(UPPER(LEFT([1]Sheet1!W150,1))="F","FEMALE","MALE")</f>
        <v>MALE</v>
      </c>
      <c r="D150">
        <v>25</v>
      </c>
      <c r="E150" t="s">
        <v>99</v>
      </c>
      <c r="F150" t="s">
        <v>99</v>
      </c>
      <c r="G150" t="s">
        <v>38</v>
      </c>
      <c r="H150" t="s">
        <v>27</v>
      </c>
      <c r="I150" s="1">
        <v>0</v>
      </c>
      <c r="J150" s="1" t="str">
        <f t="shared" si="22"/>
        <v>0-5</v>
      </c>
      <c r="K150" s="1">
        <v>0</v>
      </c>
      <c r="L150" s="1">
        <v>40</v>
      </c>
      <c r="M150" s="1">
        <f t="shared" si="23"/>
        <v>40</v>
      </c>
      <c r="N150" s="1">
        <f t="shared" si="27"/>
        <v>40</v>
      </c>
      <c r="O150" t="s">
        <v>1053</v>
      </c>
      <c r="P150" s="4">
        <f>[2]Sheet1!K150</f>
        <v>0.9</v>
      </c>
    </row>
    <row r="151" spans="1:16" x14ac:dyDescent="0.35">
      <c r="A151" t="s">
        <v>201</v>
      </c>
      <c r="B151" t="str">
        <f>TRIM([1]Sheet1!AD151)</f>
        <v>Maria Mcguire</v>
      </c>
      <c r="C151" t="str">
        <f>IF(UPPER(LEFT([1]Sheet1!W151,1))="F","FEMALE","MALE")</f>
        <v>FEMALE</v>
      </c>
      <c r="D151">
        <v>37</v>
      </c>
      <c r="E151" t="s">
        <v>67</v>
      </c>
      <c r="F151" t="s">
        <v>67</v>
      </c>
      <c r="G151" t="s">
        <v>68</v>
      </c>
      <c r="H151" t="s">
        <v>27</v>
      </c>
      <c r="I151" s="1">
        <v>15</v>
      </c>
      <c r="J151" s="1" t="str">
        <f t="shared" si="22"/>
        <v>11-16</v>
      </c>
      <c r="K151" s="1">
        <v>2.9</v>
      </c>
      <c r="L151" s="2">
        <v>40</v>
      </c>
      <c r="M151" s="1">
        <f t="shared" si="23"/>
        <v>40</v>
      </c>
      <c r="N151" s="1">
        <f t="shared" si="27"/>
        <v>40</v>
      </c>
      <c r="O151" t="s">
        <v>1053</v>
      </c>
    </row>
    <row r="152" spans="1:16" x14ac:dyDescent="0.35">
      <c r="A152" t="s">
        <v>202</v>
      </c>
      <c r="B152" t="str">
        <f>TRIM([1]Sheet1!AD152)</f>
        <v>Matthew Richards</v>
      </c>
      <c r="C152" t="str">
        <f>IF(UPPER(LEFT([1]Sheet1!W152,1))="F","FEMALE","MALE")</f>
        <v>MALE</v>
      </c>
      <c r="E152" t="s">
        <v>32</v>
      </c>
      <c r="F152" t="s">
        <v>32</v>
      </c>
      <c r="G152" t="s">
        <v>33</v>
      </c>
      <c r="H152" t="s">
        <v>27</v>
      </c>
      <c r="I152" s="1">
        <v>10</v>
      </c>
      <c r="J152" s="1" t="str">
        <f t="shared" si="22"/>
        <v>5-10</v>
      </c>
      <c r="K152" s="1">
        <v>0</v>
      </c>
      <c r="L152" s="1" t="s">
        <v>1064</v>
      </c>
      <c r="M152" s="1" t="str">
        <f t="shared" si="23"/>
        <v>USD 40</v>
      </c>
      <c r="N152" s="1">
        <v>40</v>
      </c>
    </row>
    <row r="153" spans="1:16" x14ac:dyDescent="0.35">
      <c r="A153" t="s">
        <v>203</v>
      </c>
      <c r="B153" t="str">
        <f>TRIM([1]Sheet1!AD153)</f>
        <v>Patrick Malone</v>
      </c>
      <c r="C153" t="str">
        <f>IF(UPPER(LEFT([1]Sheet1!W153,1))="F","FEMALE","MALE")</f>
        <v>MALE</v>
      </c>
      <c r="D153">
        <v>29</v>
      </c>
      <c r="E153" t="s">
        <v>105</v>
      </c>
      <c r="F153" t="s">
        <v>105</v>
      </c>
      <c r="G153" t="s">
        <v>38</v>
      </c>
      <c r="H153" t="s">
        <v>27</v>
      </c>
      <c r="I153" s="1">
        <v>11</v>
      </c>
      <c r="J153" s="1" t="str">
        <f t="shared" si="22"/>
        <v>11-16</v>
      </c>
      <c r="K153" s="1">
        <v>2.7</v>
      </c>
      <c r="L153" s="1">
        <v>20</v>
      </c>
      <c r="M153" s="1">
        <f t="shared" si="23"/>
        <v>20</v>
      </c>
      <c r="N153" s="1">
        <f t="shared" ref="N153:N163" si="28">M153</f>
        <v>20</v>
      </c>
      <c r="O153" t="s">
        <v>1053</v>
      </c>
      <c r="P153" s="4">
        <f>[2]Sheet1!K153</f>
        <v>0.93</v>
      </c>
    </row>
    <row r="154" spans="1:16" x14ac:dyDescent="0.35">
      <c r="A154" t="s">
        <v>204</v>
      </c>
      <c r="B154" t="str">
        <f>TRIM([1]Sheet1!AD154)</f>
        <v>Cindy Martin</v>
      </c>
      <c r="C154" t="str">
        <f>IF(UPPER(LEFT([1]Sheet1!W154,1))="F","FEMALE","MALE")</f>
        <v>FEMALE</v>
      </c>
      <c r="D154">
        <v>55</v>
      </c>
      <c r="E154" t="s">
        <v>37</v>
      </c>
      <c r="F154" t="s">
        <v>37</v>
      </c>
      <c r="G154" t="s">
        <v>38</v>
      </c>
      <c r="H154" t="s">
        <v>12</v>
      </c>
      <c r="I154" s="1">
        <v>12</v>
      </c>
      <c r="J154" s="1" t="str">
        <f t="shared" si="22"/>
        <v>11-16</v>
      </c>
      <c r="K154" s="1">
        <v>1.8</v>
      </c>
      <c r="L154" s="1">
        <v>100</v>
      </c>
      <c r="M154" s="1">
        <f t="shared" si="23"/>
        <v>100</v>
      </c>
      <c r="N154" s="1">
        <f t="shared" si="28"/>
        <v>100</v>
      </c>
      <c r="O154" t="s">
        <v>1054</v>
      </c>
    </row>
    <row r="155" spans="1:16" x14ac:dyDescent="0.35">
      <c r="A155" t="s">
        <v>205</v>
      </c>
      <c r="B155" t="str">
        <f>TRIM([1]Sheet1!AD155)</f>
        <v>Anne Edwards</v>
      </c>
      <c r="C155" t="str">
        <f>IF(UPPER(LEFT([1]Sheet1!W155,1))="F","FEMALE","MALE")</f>
        <v>FEMALE</v>
      </c>
      <c r="D155">
        <v>38</v>
      </c>
      <c r="E155" t="s">
        <v>45</v>
      </c>
      <c r="F155" t="s">
        <v>45</v>
      </c>
      <c r="G155" t="s">
        <v>46</v>
      </c>
      <c r="H155" t="s">
        <v>48</v>
      </c>
      <c r="I155" s="1">
        <v>20</v>
      </c>
      <c r="J155" s="1" t="str">
        <f t="shared" si="22"/>
        <v xml:space="preserve"> 16-20</v>
      </c>
      <c r="K155" s="1">
        <v>1.1000000000000001</v>
      </c>
      <c r="L155" s="2">
        <v>75</v>
      </c>
      <c r="M155" s="1">
        <f t="shared" si="23"/>
        <v>75</v>
      </c>
      <c r="N155" s="1">
        <f t="shared" si="28"/>
        <v>75</v>
      </c>
      <c r="O155" t="s">
        <v>1053</v>
      </c>
      <c r="P155" s="4">
        <f>[2]Sheet1!K155</f>
        <v>0.71</v>
      </c>
    </row>
    <row r="156" spans="1:16" x14ac:dyDescent="0.35">
      <c r="A156" t="s">
        <v>206</v>
      </c>
      <c r="B156" t="str">
        <f>TRIM([1]Sheet1!AD156)</f>
        <v>Mitchell Martin</v>
      </c>
      <c r="C156" t="str">
        <f>IF(UPPER(LEFT([1]Sheet1!W156,1))="F","FEMALE","MALE")</f>
        <v>MALE</v>
      </c>
      <c r="D156">
        <v>47</v>
      </c>
      <c r="E156" t="s">
        <v>60</v>
      </c>
      <c r="F156" t="s">
        <v>60</v>
      </c>
      <c r="G156" t="s">
        <v>61</v>
      </c>
      <c r="H156" t="s">
        <v>48</v>
      </c>
      <c r="I156" s="1">
        <v>29</v>
      </c>
      <c r="J156" s="1" t="str">
        <f t="shared" si="22"/>
        <v>26-30</v>
      </c>
      <c r="K156" s="1">
        <v>4.3</v>
      </c>
      <c r="L156" s="2">
        <v>40</v>
      </c>
      <c r="M156" s="1">
        <f t="shared" si="23"/>
        <v>40</v>
      </c>
      <c r="N156" s="1">
        <f t="shared" si="28"/>
        <v>40</v>
      </c>
      <c r="O156" t="s">
        <v>1054</v>
      </c>
      <c r="P156" s="4">
        <f>[2]Sheet1!K156</f>
        <v>0.95</v>
      </c>
    </row>
    <row r="157" spans="1:16" x14ac:dyDescent="0.35">
      <c r="A157" t="s">
        <v>207</v>
      </c>
      <c r="B157" t="str">
        <f>TRIM([1]Sheet1!AD157)</f>
        <v>Mitchell Patrick</v>
      </c>
      <c r="C157" t="str">
        <f>IF(UPPER(LEFT([1]Sheet1!W157,1))="F","FEMALE","MALE")</f>
        <v>MALE</v>
      </c>
      <c r="D157">
        <v>60</v>
      </c>
      <c r="E157" t="s">
        <v>57</v>
      </c>
      <c r="F157" t="s">
        <v>57</v>
      </c>
      <c r="G157" t="s">
        <v>58</v>
      </c>
      <c r="H157" t="s">
        <v>18</v>
      </c>
      <c r="I157" s="1">
        <v>15</v>
      </c>
      <c r="J157" s="1" t="str">
        <f t="shared" si="22"/>
        <v>11-16</v>
      </c>
      <c r="K157" s="1">
        <v>1.5</v>
      </c>
      <c r="L157" s="1">
        <v>100</v>
      </c>
      <c r="M157" s="1">
        <f t="shared" si="23"/>
        <v>100</v>
      </c>
      <c r="N157" s="1">
        <f t="shared" si="28"/>
        <v>100</v>
      </c>
      <c r="O157" t="s">
        <v>1053</v>
      </c>
      <c r="P157" s="3">
        <f>[2]Sheet1!K157/100</f>
        <v>0.8</v>
      </c>
    </row>
    <row r="158" spans="1:16" x14ac:dyDescent="0.35">
      <c r="A158" t="s">
        <v>208</v>
      </c>
      <c r="B158" t="str">
        <f>TRIM([1]Sheet1!AD158)</f>
        <v>Rebecca Lyons</v>
      </c>
      <c r="C158" t="str">
        <f>IF(UPPER(LEFT([1]Sheet1!W158,1))="F","FEMALE","MALE")</f>
        <v>FEMALE</v>
      </c>
      <c r="D158">
        <v>43</v>
      </c>
      <c r="E158" t="s">
        <v>6</v>
      </c>
      <c r="F158" t="s">
        <v>6</v>
      </c>
      <c r="G158" t="s">
        <v>7</v>
      </c>
      <c r="H158" t="s">
        <v>27</v>
      </c>
      <c r="I158" s="1">
        <v>9</v>
      </c>
      <c r="J158" s="1" t="str">
        <f t="shared" si="22"/>
        <v>5-10</v>
      </c>
      <c r="K158" s="1">
        <v>2.2000000000000002</v>
      </c>
      <c r="L158" s="2">
        <v>20</v>
      </c>
      <c r="M158" s="1">
        <f t="shared" si="23"/>
        <v>20</v>
      </c>
      <c r="N158" s="1">
        <f t="shared" si="28"/>
        <v>20</v>
      </c>
      <c r="O158" t="s">
        <v>1053</v>
      </c>
    </row>
    <row r="159" spans="1:16" x14ac:dyDescent="0.35">
      <c r="A159" t="s">
        <v>209</v>
      </c>
      <c r="B159" t="str">
        <f>TRIM([1]Sheet1!AD159)</f>
        <v>Christian Lopez</v>
      </c>
      <c r="C159" t="str">
        <f>IF(UPPER(LEFT([1]Sheet1!W159,1))="F","FEMALE","MALE")</f>
        <v>MALE</v>
      </c>
      <c r="D159">
        <v>56</v>
      </c>
      <c r="E159" t="s">
        <v>85</v>
      </c>
      <c r="F159" t="s">
        <v>85</v>
      </c>
      <c r="G159" t="s">
        <v>86</v>
      </c>
      <c r="H159" t="s">
        <v>27</v>
      </c>
      <c r="J159" s="1" t="str">
        <f t="shared" si="22"/>
        <v>0-5</v>
      </c>
      <c r="K159" s="1">
        <v>3.2</v>
      </c>
      <c r="L159" s="1">
        <v>100</v>
      </c>
      <c r="M159" s="1">
        <f t="shared" si="23"/>
        <v>100</v>
      </c>
      <c r="N159" s="1">
        <f t="shared" si="28"/>
        <v>100</v>
      </c>
      <c r="O159" t="s">
        <v>1053</v>
      </c>
      <c r="P159" s="4">
        <f>[2]Sheet1!K159</f>
        <v>0.62</v>
      </c>
    </row>
    <row r="160" spans="1:16" x14ac:dyDescent="0.35">
      <c r="A160" t="s">
        <v>210</v>
      </c>
      <c r="B160" t="str">
        <f>TRIM([1]Sheet1!AD160)</f>
        <v>Nathan Blair</v>
      </c>
      <c r="C160" t="str">
        <f>IF(UPPER(LEFT([1]Sheet1!W160,1))="F","FEMALE","MALE")</f>
        <v>MALE</v>
      </c>
      <c r="D160">
        <v>42</v>
      </c>
      <c r="E160" t="s">
        <v>67</v>
      </c>
      <c r="F160" t="s">
        <v>67</v>
      </c>
      <c r="G160" t="s">
        <v>68</v>
      </c>
      <c r="H160" t="s">
        <v>48</v>
      </c>
      <c r="I160" s="1">
        <v>2</v>
      </c>
      <c r="J160" s="1" t="str">
        <f t="shared" si="22"/>
        <v>0-5</v>
      </c>
      <c r="K160" s="1">
        <v>1.9</v>
      </c>
      <c r="L160" s="2">
        <v>50</v>
      </c>
      <c r="M160" s="1">
        <f t="shared" si="23"/>
        <v>50</v>
      </c>
      <c r="N160" s="1">
        <f t="shared" si="28"/>
        <v>50</v>
      </c>
      <c r="O160" t="s">
        <v>1053</v>
      </c>
      <c r="P160" s="4">
        <f>[2]Sheet1!K160</f>
        <v>0.95</v>
      </c>
    </row>
    <row r="161" spans="1:16" x14ac:dyDescent="0.35">
      <c r="A161" t="s">
        <v>211</v>
      </c>
      <c r="B161" t="str">
        <f>TRIM([1]Sheet1!AD161)</f>
        <v>Patricia Lopez</v>
      </c>
      <c r="C161" t="str">
        <f>IF(UPPER(LEFT([1]Sheet1!W161,1))="F","FEMALE","MALE")</f>
        <v>FEMALE</v>
      </c>
      <c r="D161">
        <v>20</v>
      </c>
      <c r="E161" t="s">
        <v>105</v>
      </c>
      <c r="F161" t="s">
        <v>105</v>
      </c>
      <c r="G161" t="s">
        <v>38</v>
      </c>
      <c r="H161" t="s">
        <v>16</v>
      </c>
      <c r="I161" s="1">
        <v>0</v>
      </c>
      <c r="J161" s="1" t="str">
        <f t="shared" si="22"/>
        <v>0-5</v>
      </c>
      <c r="K161" s="1">
        <v>2.5</v>
      </c>
      <c r="L161" s="1">
        <v>40</v>
      </c>
      <c r="M161" s="1">
        <f t="shared" si="23"/>
        <v>40</v>
      </c>
      <c r="N161" s="1">
        <f t="shared" si="28"/>
        <v>40</v>
      </c>
      <c r="O161" t="s">
        <v>1053</v>
      </c>
      <c r="P161" s="4">
        <f>[2]Sheet1!K161</f>
        <v>0.79</v>
      </c>
    </row>
    <row r="162" spans="1:16" x14ac:dyDescent="0.35">
      <c r="A162" t="s">
        <v>212</v>
      </c>
      <c r="B162" t="str">
        <f>TRIM([1]Sheet1!AD162)</f>
        <v>Michelle Wu</v>
      </c>
      <c r="C162" t="str">
        <f>IF(UPPER(LEFT([1]Sheet1!W162,1))="F","FEMALE","MALE")</f>
        <v>FEMALE</v>
      </c>
      <c r="D162">
        <v>47</v>
      </c>
      <c r="E162" t="s">
        <v>25</v>
      </c>
      <c r="F162" t="s">
        <v>25</v>
      </c>
      <c r="G162" t="s">
        <v>26</v>
      </c>
      <c r="H162" t="s">
        <v>39</v>
      </c>
      <c r="I162" s="1">
        <v>12</v>
      </c>
      <c r="J162" s="1" t="str">
        <f t="shared" si="22"/>
        <v>11-16</v>
      </c>
      <c r="K162" s="1">
        <v>4.5</v>
      </c>
      <c r="L162" s="1">
        <v>40</v>
      </c>
      <c r="M162" s="1">
        <f t="shared" si="23"/>
        <v>40</v>
      </c>
      <c r="N162" s="1">
        <f t="shared" si="28"/>
        <v>40</v>
      </c>
      <c r="O162" t="s">
        <v>1053</v>
      </c>
      <c r="P162" s="4">
        <f>[2]Sheet1!K162</f>
        <v>0.62</v>
      </c>
    </row>
    <row r="163" spans="1:16" x14ac:dyDescent="0.35">
      <c r="A163" t="s">
        <v>213</v>
      </c>
      <c r="B163" t="str">
        <f>TRIM([1]Sheet1!AD163)</f>
        <v>Donald Mitchell</v>
      </c>
      <c r="C163" t="str">
        <f>IF(UPPER(LEFT([1]Sheet1!W163,1))="F","FEMALE","MALE")</f>
        <v>MALE</v>
      </c>
      <c r="E163" t="s">
        <v>37</v>
      </c>
      <c r="F163" t="s">
        <v>37</v>
      </c>
      <c r="G163" t="s">
        <v>38</v>
      </c>
      <c r="H163" t="s">
        <v>27</v>
      </c>
      <c r="I163" s="1">
        <v>12</v>
      </c>
      <c r="J163" s="1" t="str">
        <f t="shared" si="22"/>
        <v>11-16</v>
      </c>
      <c r="K163" s="1">
        <v>4.0999999999999996</v>
      </c>
      <c r="L163" s="2">
        <v>30</v>
      </c>
      <c r="M163" s="1">
        <f t="shared" si="23"/>
        <v>30</v>
      </c>
      <c r="N163" s="1">
        <f t="shared" si="28"/>
        <v>30</v>
      </c>
      <c r="O163" t="s">
        <v>1053</v>
      </c>
      <c r="P163" s="4">
        <f>[2]Sheet1!K163</f>
        <v>0.68</v>
      </c>
    </row>
    <row r="164" spans="1:16" x14ac:dyDescent="0.35">
      <c r="A164" t="s">
        <v>214</v>
      </c>
      <c r="B164" t="str">
        <f>TRIM([1]Sheet1!AD164)</f>
        <v>Sean Gordon</v>
      </c>
      <c r="C164" t="str">
        <f>IF(UPPER(LEFT([1]Sheet1!W164,1))="F","FEMALE","MALE")</f>
        <v>MALE</v>
      </c>
      <c r="D164">
        <v>56</v>
      </c>
      <c r="E164" t="s">
        <v>25</v>
      </c>
      <c r="F164" t="s">
        <v>25</v>
      </c>
      <c r="G164" t="s">
        <v>26</v>
      </c>
      <c r="H164" t="s">
        <v>48</v>
      </c>
      <c r="I164" s="1">
        <v>15</v>
      </c>
      <c r="J164" s="1" t="str">
        <f t="shared" si="22"/>
        <v>11-16</v>
      </c>
      <c r="K164" s="1">
        <v>0</v>
      </c>
      <c r="L164" s="1" t="s">
        <v>1063</v>
      </c>
      <c r="M164" s="1" t="str">
        <f t="shared" si="23"/>
        <v>USD 75</v>
      </c>
      <c r="N164" s="1">
        <v>75</v>
      </c>
      <c r="O164" t="s">
        <v>1053</v>
      </c>
    </row>
    <row r="165" spans="1:16" x14ac:dyDescent="0.35">
      <c r="A165" t="s">
        <v>215</v>
      </c>
      <c r="B165" t="str">
        <f>TRIM([1]Sheet1!AD165)</f>
        <v>Gregory Clarke</v>
      </c>
      <c r="C165" t="str">
        <f>IF(UPPER(LEFT([1]Sheet1!W165,1))="F","FEMALE","MALE")</f>
        <v>MALE</v>
      </c>
      <c r="D165">
        <v>59</v>
      </c>
      <c r="E165" t="s">
        <v>35</v>
      </c>
      <c r="F165" t="s">
        <v>35</v>
      </c>
      <c r="G165" t="s">
        <v>11</v>
      </c>
      <c r="H165" t="s">
        <v>48</v>
      </c>
      <c r="I165" s="1">
        <v>29</v>
      </c>
      <c r="J165" s="1" t="str">
        <f t="shared" si="22"/>
        <v>26-30</v>
      </c>
      <c r="L165" s="1" t="s">
        <v>1063</v>
      </c>
      <c r="M165" s="1" t="str">
        <f t="shared" si="23"/>
        <v>USD 75</v>
      </c>
      <c r="N165" s="1">
        <v>75</v>
      </c>
      <c r="O165" t="s">
        <v>1053</v>
      </c>
      <c r="P165" s="4">
        <f>[2]Sheet1!K165</f>
        <v>0.8</v>
      </c>
    </row>
    <row r="166" spans="1:16" x14ac:dyDescent="0.35">
      <c r="A166" t="s">
        <v>216</v>
      </c>
      <c r="B166" t="str">
        <f>TRIM([1]Sheet1!AD166)</f>
        <v>Steven Whitney</v>
      </c>
      <c r="C166" t="str">
        <f>IF(UPPER(LEFT([1]Sheet1!W166,1))="F","FEMALE","MALE")</f>
        <v>MALE</v>
      </c>
      <c r="D166">
        <v>56</v>
      </c>
      <c r="E166" t="s">
        <v>45</v>
      </c>
      <c r="F166" t="s">
        <v>45</v>
      </c>
      <c r="G166" t="s">
        <v>46</v>
      </c>
      <c r="H166" t="s">
        <v>41</v>
      </c>
      <c r="I166" s="1">
        <v>15</v>
      </c>
      <c r="J166" s="1" t="str">
        <f t="shared" si="22"/>
        <v>11-16</v>
      </c>
      <c r="K166" s="1">
        <v>3.7</v>
      </c>
      <c r="L166" s="1">
        <v>40</v>
      </c>
      <c r="M166" s="1">
        <f t="shared" si="23"/>
        <v>40</v>
      </c>
      <c r="N166" s="1">
        <f>M166</f>
        <v>40</v>
      </c>
      <c r="P166" s="4">
        <f>[2]Sheet1!K166</f>
        <v>0.92</v>
      </c>
    </row>
    <row r="167" spans="1:16" x14ac:dyDescent="0.35">
      <c r="A167" t="s">
        <v>217</v>
      </c>
      <c r="B167" t="str">
        <f>TRIM([1]Sheet1!AD167)</f>
        <v>Robin Acosta</v>
      </c>
      <c r="C167" t="str">
        <f>IF(UPPER(LEFT([1]Sheet1!W167,1))="F","FEMALE","MALE")</f>
        <v>FEMALE</v>
      </c>
      <c r="D167">
        <v>31</v>
      </c>
      <c r="E167" t="s">
        <v>85</v>
      </c>
      <c r="F167" t="s">
        <v>85</v>
      </c>
      <c r="G167" t="s">
        <v>86</v>
      </c>
      <c r="H167" t="s">
        <v>18</v>
      </c>
      <c r="J167" s="1" t="str">
        <f t="shared" si="22"/>
        <v>0-5</v>
      </c>
      <c r="K167" s="1">
        <v>1.3</v>
      </c>
      <c r="L167" s="1" t="s">
        <v>1063</v>
      </c>
      <c r="M167" s="1" t="str">
        <f t="shared" si="23"/>
        <v>USD 75</v>
      </c>
      <c r="N167" s="1">
        <v>75</v>
      </c>
      <c r="O167" t="s">
        <v>1054</v>
      </c>
      <c r="P167" s="4">
        <f>[2]Sheet1!K167</f>
        <v>0.65</v>
      </c>
    </row>
    <row r="168" spans="1:16" x14ac:dyDescent="0.35">
      <c r="A168" t="s">
        <v>218</v>
      </c>
      <c r="B168" t="str">
        <f>TRIM([1]Sheet1!AD168)</f>
        <v>John Smith</v>
      </c>
      <c r="C168" t="str">
        <f>IF(UPPER(LEFT([1]Sheet1!W168,1))="F","FEMALE","MALE")</f>
        <v>MALE</v>
      </c>
      <c r="D168">
        <v>60</v>
      </c>
      <c r="E168" t="s">
        <v>60</v>
      </c>
      <c r="F168" t="s">
        <v>60</v>
      </c>
      <c r="G168" t="s">
        <v>61</v>
      </c>
      <c r="H168" t="s">
        <v>12</v>
      </c>
      <c r="I168" s="1">
        <v>33</v>
      </c>
      <c r="J168" s="1" t="str">
        <f t="shared" si="22"/>
        <v>31+</v>
      </c>
      <c r="K168" s="1">
        <v>3.6</v>
      </c>
      <c r="L168" s="1">
        <v>40</v>
      </c>
      <c r="M168" s="1">
        <f t="shared" si="23"/>
        <v>40</v>
      </c>
      <c r="N168" s="1">
        <f t="shared" ref="N168:N173" si="29">M168</f>
        <v>40</v>
      </c>
      <c r="O168" t="s">
        <v>1054</v>
      </c>
      <c r="P168" s="4">
        <f>[2]Sheet1!K168</f>
        <v>0.87</v>
      </c>
    </row>
    <row r="169" spans="1:16" x14ac:dyDescent="0.35">
      <c r="A169" t="s">
        <v>219</v>
      </c>
      <c r="B169" t="str">
        <f>TRIM([1]Sheet1!AD169)</f>
        <v>Susan Baker</v>
      </c>
      <c r="C169" t="str">
        <f>IF(UPPER(LEFT([1]Sheet1!W169,1))="F","FEMALE","MALE")</f>
        <v>FEMALE</v>
      </c>
      <c r="D169">
        <v>31</v>
      </c>
      <c r="E169" t="s">
        <v>70</v>
      </c>
      <c r="F169" t="s">
        <v>70</v>
      </c>
      <c r="G169" t="s">
        <v>11</v>
      </c>
      <c r="H169" t="s">
        <v>18</v>
      </c>
      <c r="I169" s="1">
        <v>10</v>
      </c>
      <c r="J169" s="1" t="str">
        <f t="shared" si="22"/>
        <v>5-10</v>
      </c>
      <c r="K169" s="1">
        <v>0</v>
      </c>
      <c r="L169" s="1">
        <v>75</v>
      </c>
      <c r="M169" s="1">
        <f t="shared" si="23"/>
        <v>75</v>
      </c>
      <c r="N169" s="1">
        <f t="shared" si="29"/>
        <v>75</v>
      </c>
      <c r="O169" t="s">
        <v>1053</v>
      </c>
      <c r="P169" s="4">
        <f>[2]Sheet1!K169</f>
        <v>0.7</v>
      </c>
    </row>
    <row r="170" spans="1:16" x14ac:dyDescent="0.35">
      <c r="A170" t="s">
        <v>220</v>
      </c>
      <c r="B170" t="str">
        <f>TRIM([1]Sheet1!AD170)</f>
        <v>Anthony Larsen</v>
      </c>
      <c r="C170" t="str">
        <f>IF(UPPER(LEFT([1]Sheet1!W170,1))="F","FEMALE","MALE")</f>
        <v>MALE</v>
      </c>
      <c r="D170">
        <v>60</v>
      </c>
      <c r="E170" t="s">
        <v>37</v>
      </c>
      <c r="F170" t="s">
        <v>37</v>
      </c>
      <c r="G170" t="s">
        <v>38</v>
      </c>
      <c r="H170" t="s">
        <v>41</v>
      </c>
      <c r="I170" s="1">
        <v>20</v>
      </c>
      <c r="J170" s="1" t="str">
        <f t="shared" si="22"/>
        <v xml:space="preserve"> 16-20</v>
      </c>
      <c r="K170" s="1">
        <v>1.4</v>
      </c>
      <c r="L170" s="1">
        <v>40</v>
      </c>
      <c r="M170" s="1">
        <f t="shared" si="23"/>
        <v>40</v>
      </c>
      <c r="N170" s="1">
        <f t="shared" si="29"/>
        <v>40</v>
      </c>
      <c r="O170" t="s">
        <v>1053</v>
      </c>
      <c r="P170" s="3">
        <f>[2]Sheet1!K170/100</f>
        <v>0.87</v>
      </c>
    </row>
    <row r="171" spans="1:16" x14ac:dyDescent="0.35">
      <c r="A171" t="s">
        <v>221</v>
      </c>
      <c r="B171" t="str">
        <f>TRIM([1]Sheet1!AD171)</f>
        <v>Nicholas Carpenter</v>
      </c>
      <c r="C171" t="str">
        <f>IF(UPPER(LEFT([1]Sheet1!W171,1))="F","FEMALE","MALE")</f>
        <v>MALE</v>
      </c>
      <c r="D171">
        <v>46</v>
      </c>
      <c r="E171" t="s">
        <v>74</v>
      </c>
      <c r="F171" t="s">
        <v>74</v>
      </c>
      <c r="G171" t="s">
        <v>75</v>
      </c>
      <c r="H171" t="s">
        <v>48</v>
      </c>
      <c r="I171" s="1">
        <v>23</v>
      </c>
      <c r="J171" s="1" t="str">
        <f t="shared" si="22"/>
        <v>21- 25</v>
      </c>
      <c r="K171" s="1">
        <v>2.9</v>
      </c>
      <c r="L171" s="1">
        <v>20</v>
      </c>
      <c r="M171" s="1">
        <f t="shared" si="23"/>
        <v>20</v>
      </c>
      <c r="N171" s="1">
        <f t="shared" si="29"/>
        <v>20</v>
      </c>
      <c r="O171" t="s">
        <v>1053</v>
      </c>
      <c r="P171" s="4">
        <f>[2]Sheet1!K171</f>
        <v>0.72</v>
      </c>
    </row>
    <row r="172" spans="1:16" x14ac:dyDescent="0.35">
      <c r="A172" t="s">
        <v>222</v>
      </c>
      <c r="B172" t="str">
        <f>TRIM([1]Sheet1!AD172)</f>
        <v>Debra Salazar</v>
      </c>
      <c r="C172" t="str">
        <f>IF(UPPER(LEFT([1]Sheet1!W172,1))="F","FEMALE","MALE")</f>
        <v>FEMALE</v>
      </c>
      <c r="E172" t="s">
        <v>21</v>
      </c>
      <c r="F172" t="s">
        <v>21</v>
      </c>
      <c r="G172" t="s">
        <v>22</v>
      </c>
      <c r="H172" t="s">
        <v>8</v>
      </c>
      <c r="J172" s="1" t="str">
        <f t="shared" si="22"/>
        <v>0-5</v>
      </c>
      <c r="K172" s="1">
        <v>2.8</v>
      </c>
      <c r="L172" s="1">
        <v>40</v>
      </c>
      <c r="M172" s="1">
        <f t="shared" si="23"/>
        <v>40</v>
      </c>
      <c r="N172" s="1">
        <f t="shared" si="29"/>
        <v>40</v>
      </c>
      <c r="O172" t="s">
        <v>1053</v>
      </c>
      <c r="P172" s="4">
        <f>[2]Sheet1!K172</f>
        <v>0.8</v>
      </c>
    </row>
    <row r="173" spans="1:16" x14ac:dyDescent="0.35">
      <c r="A173" t="s">
        <v>223</v>
      </c>
      <c r="B173" t="str">
        <f>TRIM([1]Sheet1!AD173)</f>
        <v>William Smith</v>
      </c>
      <c r="C173" t="str">
        <f>IF(UPPER(LEFT([1]Sheet1!W173,1))="F","FEMALE","MALE")</f>
        <v>MALE</v>
      </c>
      <c r="D173">
        <v>34</v>
      </c>
      <c r="E173" t="s">
        <v>45</v>
      </c>
      <c r="F173" t="s">
        <v>45</v>
      </c>
      <c r="G173" t="s">
        <v>46</v>
      </c>
      <c r="H173" t="s">
        <v>39</v>
      </c>
      <c r="I173" s="1">
        <v>0</v>
      </c>
      <c r="J173" s="1" t="str">
        <f t="shared" si="22"/>
        <v>0-5</v>
      </c>
      <c r="K173" s="1">
        <v>1.7</v>
      </c>
      <c r="L173" s="1">
        <v>20</v>
      </c>
      <c r="M173" s="1">
        <f t="shared" si="23"/>
        <v>20</v>
      </c>
      <c r="N173" s="1">
        <f t="shared" si="29"/>
        <v>20</v>
      </c>
      <c r="O173" t="s">
        <v>1053</v>
      </c>
      <c r="P173" s="4">
        <f>[2]Sheet1!K173</f>
        <v>0.66</v>
      </c>
    </row>
    <row r="174" spans="1:16" x14ac:dyDescent="0.35">
      <c r="A174" t="s">
        <v>224</v>
      </c>
      <c r="B174" t="str">
        <f>TRIM([1]Sheet1!AD174)</f>
        <v>Caroline Gross</v>
      </c>
      <c r="C174" t="str">
        <f>IF(UPPER(LEFT([1]Sheet1!W174,1))="F","FEMALE","MALE")</f>
        <v>FEMALE</v>
      </c>
      <c r="D174">
        <v>42</v>
      </c>
      <c r="E174" t="s">
        <v>21</v>
      </c>
      <c r="F174" t="s">
        <v>21</v>
      </c>
      <c r="G174" t="s">
        <v>22</v>
      </c>
      <c r="H174" t="s">
        <v>16</v>
      </c>
      <c r="I174" s="1">
        <v>7</v>
      </c>
      <c r="J174" s="1" t="str">
        <f t="shared" si="22"/>
        <v>5-10</v>
      </c>
      <c r="K174" s="1">
        <v>0</v>
      </c>
      <c r="L174" s="1" t="s">
        <v>1064</v>
      </c>
      <c r="M174" s="1" t="str">
        <f t="shared" si="23"/>
        <v>USD 40</v>
      </c>
      <c r="N174" s="1">
        <v>40</v>
      </c>
      <c r="O174" t="s">
        <v>1054</v>
      </c>
    </row>
    <row r="175" spans="1:16" x14ac:dyDescent="0.35">
      <c r="A175" t="s">
        <v>225</v>
      </c>
      <c r="B175" t="str">
        <f>TRIM([1]Sheet1!AD175)</f>
        <v>Jeremy Sawyer</v>
      </c>
      <c r="C175" t="str">
        <f>IF(UPPER(LEFT([1]Sheet1!W175,1))="F","FEMALE","MALE")</f>
        <v>MALE</v>
      </c>
      <c r="D175">
        <v>31</v>
      </c>
      <c r="E175" t="s">
        <v>35</v>
      </c>
      <c r="F175" t="s">
        <v>35</v>
      </c>
      <c r="G175" t="s">
        <v>11</v>
      </c>
      <c r="H175" t="s">
        <v>27</v>
      </c>
      <c r="I175" s="1">
        <v>4</v>
      </c>
      <c r="J175" s="1" t="str">
        <f t="shared" si="22"/>
        <v>0-5</v>
      </c>
      <c r="K175" s="1">
        <v>1.1000000000000001</v>
      </c>
      <c r="L175" s="1" t="s">
        <v>1063</v>
      </c>
      <c r="M175" s="1" t="str">
        <f t="shared" si="23"/>
        <v>USD 75</v>
      </c>
      <c r="N175" s="1">
        <v>75</v>
      </c>
      <c r="O175" t="s">
        <v>1054</v>
      </c>
      <c r="P175" s="4">
        <f>[2]Sheet1!K175</f>
        <v>0.64</v>
      </c>
    </row>
    <row r="176" spans="1:16" x14ac:dyDescent="0.35">
      <c r="A176" t="s">
        <v>226</v>
      </c>
      <c r="B176" t="str">
        <f>TRIM([1]Sheet1!AD176)</f>
        <v>Eduardo Burns</v>
      </c>
      <c r="C176" t="str">
        <f>IF(UPPER(LEFT([1]Sheet1!W176,1))="F","FEMALE","MALE")</f>
        <v>MALE</v>
      </c>
      <c r="D176">
        <v>29</v>
      </c>
      <c r="E176" t="s">
        <v>57</v>
      </c>
      <c r="F176" t="s">
        <v>57</v>
      </c>
      <c r="G176" t="s">
        <v>58</v>
      </c>
      <c r="H176" t="s">
        <v>39</v>
      </c>
      <c r="I176" s="1">
        <v>9</v>
      </c>
      <c r="J176" s="1" t="str">
        <f t="shared" si="22"/>
        <v>5-10</v>
      </c>
      <c r="L176" s="1">
        <v>20</v>
      </c>
      <c r="M176" s="1">
        <f t="shared" si="23"/>
        <v>20</v>
      </c>
      <c r="N176" s="1">
        <f t="shared" ref="N176:N179" si="30">M176</f>
        <v>20</v>
      </c>
      <c r="P176" s="4">
        <f>[2]Sheet1!K176</f>
        <v>0.68</v>
      </c>
    </row>
    <row r="177" spans="1:16" x14ac:dyDescent="0.35">
      <c r="A177" t="s">
        <v>227</v>
      </c>
      <c r="B177" t="str">
        <f>TRIM([1]Sheet1!AD177)</f>
        <v>Amanda Jones</v>
      </c>
      <c r="C177" t="str">
        <f>IF(UPPER(LEFT([1]Sheet1!W177,1))="F","FEMALE","MALE")</f>
        <v>FEMALE</v>
      </c>
      <c r="D177">
        <v>57</v>
      </c>
      <c r="E177" t="s">
        <v>10</v>
      </c>
      <c r="F177" t="s">
        <v>10</v>
      </c>
      <c r="G177" t="s">
        <v>11</v>
      </c>
      <c r="H177" t="s">
        <v>16</v>
      </c>
      <c r="I177" s="1">
        <v>17</v>
      </c>
      <c r="J177" s="1" t="str">
        <f t="shared" si="22"/>
        <v xml:space="preserve"> 16-20</v>
      </c>
      <c r="K177" s="1">
        <v>3.6</v>
      </c>
      <c r="L177" s="1">
        <v>20</v>
      </c>
      <c r="M177" s="1">
        <f t="shared" si="23"/>
        <v>20</v>
      </c>
      <c r="N177" s="1">
        <f t="shared" si="30"/>
        <v>20</v>
      </c>
      <c r="O177" t="s">
        <v>1053</v>
      </c>
      <c r="P177" s="4">
        <f>[2]Sheet1!K177</f>
        <v>0.63</v>
      </c>
    </row>
    <row r="178" spans="1:16" x14ac:dyDescent="0.35">
      <c r="A178" t="s">
        <v>228</v>
      </c>
      <c r="B178" t="str">
        <f>TRIM([1]Sheet1!AD178)</f>
        <v>Frederick Ware</v>
      </c>
      <c r="C178" t="str">
        <f>IF(UPPER(LEFT([1]Sheet1!W178,1))="F","FEMALE","MALE")</f>
        <v>MALE</v>
      </c>
      <c r="D178">
        <v>47</v>
      </c>
      <c r="E178" t="s">
        <v>50</v>
      </c>
      <c r="F178" t="s">
        <v>50</v>
      </c>
      <c r="G178" t="s">
        <v>51</v>
      </c>
      <c r="H178" t="s">
        <v>48</v>
      </c>
      <c r="I178" s="1">
        <v>8</v>
      </c>
      <c r="J178" s="1" t="str">
        <f t="shared" si="22"/>
        <v>5-10</v>
      </c>
      <c r="K178" s="1">
        <v>4.5</v>
      </c>
      <c r="L178" s="1">
        <v>20</v>
      </c>
      <c r="M178" s="1">
        <f t="shared" si="23"/>
        <v>20</v>
      </c>
      <c r="N178" s="1">
        <f t="shared" si="30"/>
        <v>20</v>
      </c>
      <c r="O178" t="s">
        <v>1054</v>
      </c>
      <c r="P178" s="4">
        <f>[2]Sheet1!K178</f>
        <v>0.72</v>
      </c>
    </row>
    <row r="179" spans="1:16" x14ac:dyDescent="0.35">
      <c r="A179" t="s">
        <v>229</v>
      </c>
      <c r="B179" t="str">
        <f>TRIM([1]Sheet1!AD179)</f>
        <v>Michael Black</v>
      </c>
      <c r="C179" t="str">
        <f>IF(UPPER(LEFT([1]Sheet1!W179,1))="F","FEMALE","MALE")</f>
        <v>MALE</v>
      </c>
      <c r="D179">
        <v>47</v>
      </c>
      <c r="E179" t="s">
        <v>85</v>
      </c>
      <c r="F179" t="s">
        <v>85</v>
      </c>
      <c r="G179" t="s">
        <v>86</v>
      </c>
      <c r="H179" t="s">
        <v>23</v>
      </c>
      <c r="I179" s="1">
        <v>14</v>
      </c>
      <c r="J179" s="1" t="str">
        <f t="shared" si="22"/>
        <v>11-16</v>
      </c>
      <c r="K179" s="1">
        <v>0</v>
      </c>
      <c r="L179" s="2">
        <v>30</v>
      </c>
      <c r="M179" s="1">
        <f t="shared" si="23"/>
        <v>30</v>
      </c>
      <c r="N179" s="1">
        <f t="shared" si="30"/>
        <v>30</v>
      </c>
      <c r="O179" t="s">
        <v>1054</v>
      </c>
      <c r="P179" s="4">
        <f>[2]Sheet1!K179</f>
        <v>0.86</v>
      </c>
    </row>
    <row r="180" spans="1:16" x14ac:dyDescent="0.35">
      <c r="A180" t="s">
        <v>230</v>
      </c>
      <c r="B180" t="str">
        <f>TRIM([1]Sheet1!AD180)</f>
        <v>Patricia Sanders</v>
      </c>
      <c r="C180" t="str">
        <f>IF(UPPER(LEFT([1]Sheet1!W180,1))="F","FEMALE","MALE")</f>
        <v>FEMALE</v>
      </c>
      <c r="D180">
        <v>45</v>
      </c>
      <c r="E180" t="s">
        <v>74</v>
      </c>
      <c r="F180" t="s">
        <v>74</v>
      </c>
      <c r="G180" t="s">
        <v>75</v>
      </c>
      <c r="H180" t="s">
        <v>16</v>
      </c>
      <c r="I180" s="1">
        <v>21</v>
      </c>
      <c r="J180" s="1" t="str">
        <f t="shared" si="22"/>
        <v>21- 25</v>
      </c>
      <c r="K180" s="1">
        <v>1.5</v>
      </c>
      <c r="L180" s="1" t="s">
        <v>1066</v>
      </c>
      <c r="M180" s="1" t="str">
        <f t="shared" si="23"/>
        <v>USD 30</v>
      </c>
      <c r="N180" s="1">
        <v>30</v>
      </c>
      <c r="O180" t="s">
        <v>1054</v>
      </c>
      <c r="P180" s="4">
        <f>[2]Sheet1!K180</f>
        <v>0.73</v>
      </c>
    </row>
    <row r="181" spans="1:16" x14ac:dyDescent="0.35">
      <c r="A181" t="s">
        <v>231</v>
      </c>
      <c r="B181" t="str">
        <f>TRIM([1]Sheet1!AD181)</f>
        <v>Marc Joseph</v>
      </c>
      <c r="C181" t="str">
        <f>IF(UPPER(LEFT([1]Sheet1!W181,1))="F","FEMALE","MALE")</f>
        <v>MALE</v>
      </c>
      <c r="D181">
        <v>24</v>
      </c>
      <c r="E181" t="s">
        <v>32</v>
      </c>
      <c r="F181" t="s">
        <v>32</v>
      </c>
      <c r="G181" t="s">
        <v>33</v>
      </c>
      <c r="H181" t="s">
        <v>62</v>
      </c>
      <c r="I181" s="1">
        <v>1</v>
      </c>
      <c r="J181" s="1" t="str">
        <f t="shared" si="22"/>
        <v>0-5</v>
      </c>
      <c r="K181" s="1">
        <v>3.7</v>
      </c>
      <c r="L181" s="2">
        <v>30</v>
      </c>
      <c r="M181" s="1">
        <f t="shared" si="23"/>
        <v>30</v>
      </c>
      <c r="N181" s="1">
        <f t="shared" ref="N181:N189" si="31">M181</f>
        <v>30</v>
      </c>
      <c r="O181" t="s">
        <v>1053</v>
      </c>
      <c r="P181" s="4">
        <f>[2]Sheet1!K181</f>
        <v>0.95</v>
      </c>
    </row>
    <row r="182" spans="1:16" x14ac:dyDescent="0.35">
      <c r="A182" t="s">
        <v>232</v>
      </c>
      <c r="B182" t="str">
        <f>TRIM([1]Sheet1!AD182)</f>
        <v>Vanessa White</v>
      </c>
      <c r="C182" t="str">
        <f>IF(UPPER(LEFT([1]Sheet1!W182,1))="F","FEMALE","MALE")</f>
        <v>FEMALE</v>
      </c>
      <c r="D182">
        <v>31</v>
      </c>
      <c r="E182" t="s">
        <v>37</v>
      </c>
      <c r="F182" t="s">
        <v>37</v>
      </c>
      <c r="G182" t="s">
        <v>38</v>
      </c>
      <c r="H182" t="s">
        <v>12</v>
      </c>
      <c r="I182" s="1">
        <v>12</v>
      </c>
      <c r="J182" s="1" t="str">
        <f t="shared" si="22"/>
        <v>11-16</v>
      </c>
      <c r="K182" s="1">
        <v>2.2999999999999998</v>
      </c>
      <c r="L182" s="1">
        <v>20</v>
      </c>
      <c r="M182" s="1">
        <f t="shared" si="23"/>
        <v>20</v>
      </c>
      <c r="N182" s="1">
        <f t="shared" si="31"/>
        <v>20</v>
      </c>
      <c r="O182" t="s">
        <v>1053</v>
      </c>
      <c r="P182" s="4">
        <f>[2]Sheet1!K182</f>
        <v>0.9</v>
      </c>
    </row>
    <row r="183" spans="1:16" x14ac:dyDescent="0.35">
      <c r="A183" t="s">
        <v>233</v>
      </c>
      <c r="B183" t="str">
        <f>TRIM([1]Sheet1!AD183)</f>
        <v>Jennifer Garcia</v>
      </c>
      <c r="C183" t="str">
        <f>IF(UPPER(LEFT([1]Sheet1!W183,1))="F","FEMALE","MALE")</f>
        <v>FEMALE</v>
      </c>
      <c r="D183">
        <v>20</v>
      </c>
      <c r="E183" t="s">
        <v>99</v>
      </c>
      <c r="F183" t="s">
        <v>99</v>
      </c>
      <c r="G183" t="s">
        <v>38</v>
      </c>
      <c r="H183" t="s">
        <v>16</v>
      </c>
      <c r="I183" s="1">
        <v>2</v>
      </c>
      <c r="J183" s="1" t="str">
        <f t="shared" si="22"/>
        <v>0-5</v>
      </c>
      <c r="K183" s="1">
        <v>2.8</v>
      </c>
      <c r="L183" s="2">
        <v>20</v>
      </c>
      <c r="M183" s="1">
        <f t="shared" si="23"/>
        <v>20</v>
      </c>
      <c r="N183" s="1">
        <f t="shared" si="31"/>
        <v>20</v>
      </c>
      <c r="O183" t="s">
        <v>1053</v>
      </c>
      <c r="P183" s="4">
        <f>[2]Sheet1!K183</f>
        <v>0.78</v>
      </c>
    </row>
    <row r="184" spans="1:16" x14ac:dyDescent="0.35">
      <c r="A184" t="s">
        <v>234</v>
      </c>
      <c r="B184" t="str">
        <f>TRIM([1]Sheet1!AD184)</f>
        <v>Michael Zavala</v>
      </c>
      <c r="C184" t="str">
        <f>IF(UPPER(LEFT([1]Sheet1!W184,1))="F","FEMALE","MALE")</f>
        <v>MALE</v>
      </c>
      <c r="D184">
        <v>38</v>
      </c>
      <c r="E184" t="s">
        <v>45</v>
      </c>
      <c r="F184" t="s">
        <v>45</v>
      </c>
      <c r="G184" t="s">
        <v>46</v>
      </c>
      <c r="H184" t="s">
        <v>18</v>
      </c>
      <c r="I184" s="1">
        <v>3</v>
      </c>
      <c r="J184" s="1" t="str">
        <f t="shared" si="22"/>
        <v>0-5</v>
      </c>
      <c r="K184" s="1">
        <v>3.5</v>
      </c>
      <c r="L184" s="1">
        <v>30</v>
      </c>
      <c r="M184" s="1">
        <f t="shared" si="23"/>
        <v>30</v>
      </c>
      <c r="N184" s="1">
        <f t="shared" si="31"/>
        <v>30</v>
      </c>
      <c r="O184" t="s">
        <v>1053</v>
      </c>
      <c r="P184" s="4">
        <f>[2]Sheet1!K184</f>
        <v>0.97</v>
      </c>
    </row>
    <row r="185" spans="1:16" x14ac:dyDescent="0.35">
      <c r="A185" t="s">
        <v>235</v>
      </c>
      <c r="B185" t="str">
        <f>TRIM([1]Sheet1!AD185)</f>
        <v>Kimberly Williams</v>
      </c>
      <c r="C185" t="str">
        <f>IF(UPPER(LEFT([1]Sheet1!W185,1))="F","FEMALE","MALE")</f>
        <v>FEMALE</v>
      </c>
      <c r="D185">
        <v>33</v>
      </c>
      <c r="E185" t="s">
        <v>14</v>
      </c>
      <c r="F185" t="s">
        <v>14</v>
      </c>
      <c r="G185" t="s">
        <v>15</v>
      </c>
      <c r="H185" t="s">
        <v>39</v>
      </c>
      <c r="I185" s="1">
        <v>11</v>
      </c>
      <c r="J185" s="1" t="str">
        <f t="shared" si="22"/>
        <v>11-16</v>
      </c>
      <c r="K185" s="1">
        <v>0</v>
      </c>
      <c r="M185" s="1">
        <f t="shared" si="23"/>
        <v>0</v>
      </c>
      <c r="N185" s="1">
        <f t="shared" si="31"/>
        <v>0</v>
      </c>
      <c r="O185" t="s">
        <v>1054</v>
      </c>
      <c r="P185" s="4">
        <f>[2]Sheet1!K185</f>
        <v>0.65</v>
      </c>
    </row>
    <row r="186" spans="1:16" x14ac:dyDescent="0.35">
      <c r="A186" t="s">
        <v>236</v>
      </c>
      <c r="B186" t="str">
        <f>TRIM([1]Sheet1!AD186)</f>
        <v>Elizabeth Jenkins</v>
      </c>
      <c r="C186" t="str">
        <f>IF(UPPER(LEFT([1]Sheet1!W186,1))="F","FEMALE","MALE")</f>
        <v>FEMALE</v>
      </c>
      <c r="D186">
        <v>31</v>
      </c>
      <c r="E186" t="s">
        <v>10</v>
      </c>
      <c r="F186" t="s">
        <v>10</v>
      </c>
      <c r="G186" t="s">
        <v>11</v>
      </c>
      <c r="H186" t="s">
        <v>18</v>
      </c>
      <c r="I186" s="1">
        <v>4</v>
      </c>
      <c r="J186" s="1" t="str">
        <f t="shared" si="22"/>
        <v>0-5</v>
      </c>
      <c r="K186" s="1">
        <v>3.2</v>
      </c>
      <c r="L186" s="1">
        <v>40</v>
      </c>
      <c r="M186" s="1">
        <f t="shared" si="23"/>
        <v>40</v>
      </c>
      <c r="N186" s="1">
        <f t="shared" si="31"/>
        <v>40</v>
      </c>
      <c r="O186" t="s">
        <v>1054</v>
      </c>
      <c r="P186" s="4">
        <f>[2]Sheet1!K186</f>
        <v>0.78</v>
      </c>
    </row>
    <row r="187" spans="1:16" x14ac:dyDescent="0.35">
      <c r="A187" t="s">
        <v>237</v>
      </c>
      <c r="B187" t="str">
        <f>TRIM([1]Sheet1!AD187)</f>
        <v>Brandon Ford</v>
      </c>
      <c r="C187" t="str">
        <f>IF(UPPER(LEFT([1]Sheet1!W187,1))="F","FEMALE","MALE")</f>
        <v>MALE</v>
      </c>
      <c r="D187">
        <v>41</v>
      </c>
      <c r="E187" t="s">
        <v>105</v>
      </c>
      <c r="F187" t="s">
        <v>105</v>
      </c>
      <c r="G187" t="s">
        <v>38</v>
      </c>
      <c r="H187" t="s">
        <v>62</v>
      </c>
      <c r="I187" s="1">
        <v>21</v>
      </c>
      <c r="J187" s="1" t="str">
        <f t="shared" si="22"/>
        <v>21- 25</v>
      </c>
      <c r="K187" s="1">
        <v>3.3</v>
      </c>
      <c r="L187" s="1">
        <v>50</v>
      </c>
      <c r="M187" s="1">
        <f t="shared" si="23"/>
        <v>50</v>
      </c>
      <c r="N187" s="1">
        <f t="shared" si="31"/>
        <v>50</v>
      </c>
      <c r="O187" t="s">
        <v>1054</v>
      </c>
      <c r="P187" s="4">
        <f>[2]Sheet1!K187</f>
        <v>0.65</v>
      </c>
    </row>
    <row r="188" spans="1:16" x14ac:dyDescent="0.35">
      <c r="A188" t="s">
        <v>238</v>
      </c>
      <c r="B188" t="str">
        <f>TRIM([1]Sheet1!AD188)</f>
        <v>Justin House</v>
      </c>
      <c r="C188" t="str">
        <f>IF(UPPER(LEFT([1]Sheet1!W188,1))="F","FEMALE","MALE")</f>
        <v>MALE</v>
      </c>
      <c r="D188">
        <v>54</v>
      </c>
      <c r="E188" t="s">
        <v>32</v>
      </c>
      <c r="F188" t="s">
        <v>32</v>
      </c>
      <c r="G188" t="s">
        <v>33</v>
      </c>
      <c r="H188" t="s">
        <v>18</v>
      </c>
      <c r="I188" s="1">
        <v>0</v>
      </c>
      <c r="J188" s="1" t="str">
        <f t="shared" si="22"/>
        <v>0-5</v>
      </c>
      <c r="K188" s="1">
        <v>4.9000000000000004</v>
      </c>
      <c r="L188" s="2">
        <v>20</v>
      </c>
      <c r="M188" s="1">
        <f t="shared" si="23"/>
        <v>20</v>
      </c>
      <c r="N188" s="1">
        <f t="shared" si="31"/>
        <v>20</v>
      </c>
    </row>
    <row r="189" spans="1:16" x14ac:dyDescent="0.35">
      <c r="A189" t="s">
        <v>239</v>
      </c>
      <c r="B189" t="str">
        <f>TRIM([1]Sheet1!AD189)</f>
        <v>Henry Mullen</v>
      </c>
      <c r="C189" t="str">
        <f>IF(UPPER(LEFT([1]Sheet1!W189,1))="F","FEMALE","MALE")</f>
        <v>MALE</v>
      </c>
      <c r="D189">
        <v>50</v>
      </c>
      <c r="E189" t="s">
        <v>99</v>
      </c>
      <c r="F189" t="s">
        <v>99</v>
      </c>
      <c r="G189" t="s">
        <v>38</v>
      </c>
      <c r="H189" t="s">
        <v>27</v>
      </c>
      <c r="I189" s="1">
        <v>6</v>
      </c>
      <c r="J189" s="1" t="str">
        <f t="shared" si="22"/>
        <v>5-10</v>
      </c>
      <c r="K189" s="1">
        <v>2.2000000000000002</v>
      </c>
      <c r="L189" s="1">
        <v>30</v>
      </c>
      <c r="M189" s="1">
        <f t="shared" si="23"/>
        <v>30</v>
      </c>
      <c r="N189" s="1">
        <f t="shared" si="31"/>
        <v>30</v>
      </c>
      <c r="O189" t="s">
        <v>1054</v>
      </c>
      <c r="P189" s="4">
        <f>[2]Sheet1!K189</f>
        <v>0.95</v>
      </c>
    </row>
    <row r="190" spans="1:16" x14ac:dyDescent="0.35">
      <c r="A190" t="s">
        <v>240</v>
      </c>
      <c r="B190" t="str">
        <f>TRIM([1]Sheet1!AD190)</f>
        <v>Jesse Cochran</v>
      </c>
      <c r="C190" t="str">
        <f>IF(UPPER(LEFT([1]Sheet1!W190,1))="F","FEMALE","MALE")</f>
        <v>MALE</v>
      </c>
      <c r="D190">
        <v>48</v>
      </c>
      <c r="E190" t="s">
        <v>57</v>
      </c>
      <c r="F190" t="s">
        <v>57</v>
      </c>
      <c r="G190" t="s">
        <v>58</v>
      </c>
      <c r="H190" t="s">
        <v>62</v>
      </c>
      <c r="I190" s="1">
        <v>18</v>
      </c>
      <c r="J190" s="1" t="str">
        <f t="shared" si="22"/>
        <v xml:space="preserve"> 16-20</v>
      </c>
      <c r="L190" s="1" t="s">
        <v>1064</v>
      </c>
      <c r="M190" s="1" t="str">
        <f t="shared" si="23"/>
        <v>USD 40</v>
      </c>
      <c r="N190" s="1">
        <v>40</v>
      </c>
      <c r="O190" t="s">
        <v>1054</v>
      </c>
      <c r="P190" s="4">
        <f>[2]Sheet1!K190</f>
        <v>0.88</v>
      </c>
    </row>
    <row r="191" spans="1:16" x14ac:dyDescent="0.35">
      <c r="A191" t="s">
        <v>241</v>
      </c>
      <c r="B191" t="str">
        <f>TRIM([1]Sheet1!AD191)</f>
        <v>Melissa Rich</v>
      </c>
      <c r="C191" t="str">
        <f>IF(UPPER(LEFT([1]Sheet1!W191,1))="F","FEMALE","MALE")</f>
        <v>FEMALE</v>
      </c>
      <c r="D191">
        <v>49</v>
      </c>
      <c r="E191" t="s">
        <v>99</v>
      </c>
      <c r="F191" t="s">
        <v>99</v>
      </c>
      <c r="G191" t="s">
        <v>38</v>
      </c>
      <c r="H191" t="s">
        <v>16</v>
      </c>
      <c r="J191" s="1" t="str">
        <f t="shared" si="22"/>
        <v>0-5</v>
      </c>
      <c r="K191" s="1">
        <v>1.8</v>
      </c>
      <c r="M191" s="1">
        <f t="shared" si="23"/>
        <v>0</v>
      </c>
      <c r="N191" s="1">
        <f t="shared" ref="N191:N195" si="32">M191</f>
        <v>0</v>
      </c>
      <c r="O191" t="s">
        <v>1053</v>
      </c>
    </row>
    <row r="192" spans="1:16" x14ac:dyDescent="0.35">
      <c r="A192" t="s">
        <v>242</v>
      </c>
      <c r="B192" t="str">
        <f>TRIM([1]Sheet1!AD192)</f>
        <v>Patrick Dunlap</v>
      </c>
      <c r="C192" t="str">
        <f>IF(UPPER(LEFT([1]Sheet1!W192,1))="F","FEMALE","MALE")</f>
        <v>MALE</v>
      </c>
      <c r="D192">
        <v>21</v>
      </c>
      <c r="E192" t="s">
        <v>60</v>
      </c>
      <c r="F192" t="s">
        <v>60</v>
      </c>
      <c r="G192" t="s">
        <v>61</v>
      </c>
      <c r="H192" t="s">
        <v>16</v>
      </c>
      <c r="I192" s="1">
        <v>1</v>
      </c>
      <c r="J192" s="1" t="str">
        <f t="shared" si="22"/>
        <v>0-5</v>
      </c>
      <c r="K192" s="1">
        <v>4.5999999999999996</v>
      </c>
      <c r="L192" s="1">
        <v>75</v>
      </c>
      <c r="M192" s="1">
        <f t="shared" si="23"/>
        <v>75</v>
      </c>
      <c r="N192" s="1">
        <f t="shared" si="32"/>
        <v>75</v>
      </c>
      <c r="O192" t="s">
        <v>1053</v>
      </c>
      <c r="P192" s="4">
        <f>[2]Sheet1!K192</f>
        <v>0.92</v>
      </c>
    </row>
    <row r="193" spans="1:16" x14ac:dyDescent="0.35">
      <c r="A193" t="s">
        <v>243</v>
      </c>
      <c r="B193" t="str">
        <f>TRIM([1]Sheet1!AD193)</f>
        <v>Troy Carson</v>
      </c>
      <c r="C193" t="str">
        <f>IF(UPPER(LEFT([1]Sheet1!W193,1))="F","FEMALE","MALE")</f>
        <v>MALE</v>
      </c>
      <c r="D193">
        <v>58</v>
      </c>
      <c r="E193" t="s">
        <v>10</v>
      </c>
      <c r="F193" t="s">
        <v>10</v>
      </c>
      <c r="G193" t="s">
        <v>11</v>
      </c>
      <c r="H193" t="s">
        <v>16</v>
      </c>
      <c r="I193" s="1">
        <v>20</v>
      </c>
      <c r="J193" s="1" t="str">
        <f t="shared" si="22"/>
        <v xml:space="preserve"> 16-20</v>
      </c>
      <c r="K193" s="1">
        <v>2.8</v>
      </c>
      <c r="L193" s="1">
        <v>75</v>
      </c>
      <c r="M193" s="1">
        <f t="shared" si="23"/>
        <v>75</v>
      </c>
      <c r="N193" s="1">
        <f t="shared" si="32"/>
        <v>75</v>
      </c>
      <c r="O193" t="s">
        <v>1053</v>
      </c>
      <c r="P193" s="4">
        <f>[2]Sheet1!K193</f>
        <v>0.75</v>
      </c>
    </row>
    <row r="194" spans="1:16" x14ac:dyDescent="0.35">
      <c r="A194" t="s">
        <v>244</v>
      </c>
      <c r="B194" t="str">
        <f>TRIM([1]Sheet1!AD194)</f>
        <v>Matthew Smith</v>
      </c>
      <c r="C194" t="str">
        <f>IF(UPPER(LEFT([1]Sheet1!W194,1))="F","FEMALE","MALE")</f>
        <v>MALE</v>
      </c>
      <c r="D194">
        <v>41</v>
      </c>
      <c r="E194" t="s">
        <v>6</v>
      </c>
      <c r="F194" t="s">
        <v>6</v>
      </c>
      <c r="G194" t="s">
        <v>7</v>
      </c>
      <c r="H194" t="s">
        <v>48</v>
      </c>
      <c r="J194" s="1" t="str">
        <f t="shared" ref="J194:J257" si="33">_xlfn.IFS(I194&lt;=5,"0-5",I194&lt;=10,"5-10",I194&lt;=16,"11-16",I194&lt;=20," 16-20",I194&lt;=25,"21- 25",I194&lt;=30,"26-30",I194&gt;30,"31+")</f>
        <v>0-5</v>
      </c>
      <c r="K194" s="1">
        <v>1.4</v>
      </c>
      <c r="L194" s="2">
        <v>30</v>
      </c>
      <c r="M194" s="1">
        <f t="shared" si="23"/>
        <v>30</v>
      </c>
      <c r="N194" s="1">
        <f t="shared" si="32"/>
        <v>30</v>
      </c>
      <c r="O194" t="s">
        <v>1053</v>
      </c>
      <c r="P194" s="4">
        <f>[2]Sheet1!K194</f>
        <v>0.74</v>
      </c>
    </row>
    <row r="195" spans="1:16" x14ac:dyDescent="0.35">
      <c r="A195" t="s">
        <v>245</v>
      </c>
      <c r="B195" t="str">
        <f>TRIM([1]Sheet1!AD195)</f>
        <v>Jennifer Cherry</v>
      </c>
      <c r="C195" t="str">
        <f>IF(UPPER(LEFT([1]Sheet1!W195,1))="F","FEMALE","MALE")</f>
        <v>FEMALE</v>
      </c>
      <c r="D195">
        <v>58</v>
      </c>
      <c r="E195" t="s">
        <v>67</v>
      </c>
      <c r="F195" t="s">
        <v>67</v>
      </c>
      <c r="G195" t="s">
        <v>68</v>
      </c>
      <c r="H195" t="s">
        <v>8</v>
      </c>
      <c r="I195" s="1">
        <v>25</v>
      </c>
      <c r="J195" s="1" t="str">
        <f t="shared" si="33"/>
        <v>21- 25</v>
      </c>
      <c r="K195" s="1">
        <v>4.2</v>
      </c>
      <c r="L195" s="2">
        <v>30</v>
      </c>
      <c r="M195" s="1">
        <f t="shared" ref="M195:M258" si="34">L195</f>
        <v>30</v>
      </c>
      <c r="N195" s="1">
        <f t="shared" si="32"/>
        <v>30</v>
      </c>
      <c r="O195" t="s">
        <v>1054</v>
      </c>
      <c r="P195" s="4">
        <f>[2]Sheet1!K195</f>
        <v>0.71</v>
      </c>
    </row>
    <row r="196" spans="1:16" x14ac:dyDescent="0.35">
      <c r="A196" t="s">
        <v>246</v>
      </c>
      <c r="B196" t="str">
        <f>TRIM([1]Sheet1!AD196)</f>
        <v>Brandi Tucker</v>
      </c>
      <c r="C196" t="str">
        <f>IF(UPPER(LEFT([1]Sheet1!W196,1))="F","FEMALE","MALE")</f>
        <v>FEMALE</v>
      </c>
      <c r="D196">
        <v>50</v>
      </c>
      <c r="E196" t="s">
        <v>85</v>
      </c>
      <c r="F196" t="s">
        <v>85</v>
      </c>
      <c r="G196" t="s">
        <v>86</v>
      </c>
      <c r="H196" t="s">
        <v>16</v>
      </c>
      <c r="I196" s="1">
        <v>20</v>
      </c>
      <c r="J196" s="1" t="str">
        <f t="shared" si="33"/>
        <v xml:space="preserve"> 16-20</v>
      </c>
      <c r="K196" s="1">
        <v>3.6</v>
      </c>
      <c r="L196" s="1" t="s">
        <v>1064</v>
      </c>
      <c r="M196" s="1" t="str">
        <f t="shared" si="34"/>
        <v>USD 40</v>
      </c>
      <c r="N196" s="1">
        <v>40</v>
      </c>
      <c r="O196" t="s">
        <v>1054</v>
      </c>
      <c r="P196" s="4">
        <f>[2]Sheet1!K196</f>
        <v>0.89</v>
      </c>
    </row>
    <row r="197" spans="1:16" x14ac:dyDescent="0.35">
      <c r="A197" t="s">
        <v>247</v>
      </c>
      <c r="B197" t="str">
        <f>TRIM([1]Sheet1!AD197)</f>
        <v>Zachary Burke</v>
      </c>
      <c r="C197" t="str">
        <f>IF(UPPER(LEFT([1]Sheet1!W197,1))="F","FEMALE","MALE")</f>
        <v>MALE</v>
      </c>
      <c r="D197">
        <v>52</v>
      </c>
      <c r="E197" t="s">
        <v>25</v>
      </c>
      <c r="F197" t="s">
        <v>25</v>
      </c>
      <c r="G197" t="s">
        <v>26</v>
      </c>
      <c r="H197" t="s">
        <v>18</v>
      </c>
      <c r="I197" s="1">
        <v>33</v>
      </c>
      <c r="J197" s="1" t="str">
        <f t="shared" si="33"/>
        <v>31+</v>
      </c>
      <c r="K197" s="1">
        <v>1.6</v>
      </c>
      <c r="L197" s="2">
        <v>100</v>
      </c>
      <c r="M197" s="1">
        <f t="shared" si="34"/>
        <v>100</v>
      </c>
      <c r="N197" s="1">
        <f t="shared" ref="N197:N203" si="35">M197</f>
        <v>100</v>
      </c>
      <c r="P197" s="4">
        <f>[2]Sheet1!K197</f>
        <v>0.66</v>
      </c>
    </row>
    <row r="198" spans="1:16" x14ac:dyDescent="0.35">
      <c r="A198" t="s">
        <v>248</v>
      </c>
      <c r="B198" t="str">
        <f>TRIM([1]Sheet1!AD198)</f>
        <v>Thomas Jones</v>
      </c>
      <c r="C198" t="str">
        <f>IF(UPPER(LEFT([1]Sheet1!W198,1))="F","FEMALE","MALE")</f>
        <v>MALE</v>
      </c>
      <c r="D198">
        <v>34</v>
      </c>
      <c r="E198" t="s">
        <v>21</v>
      </c>
      <c r="F198" t="s">
        <v>21</v>
      </c>
      <c r="G198" t="s">
        <v>22</v>
      </c>
      <c r="H198" t="s">
        <v>27</v>
      </c>
      <c r="I198" s="1">
        <v>6</v>
      </c>
      <c r="J198" s="1" t="str">
        <f t="shared" si="33"/>
        <v>5-10</v>
      </c>
      <c r="K198" s="1">
        <v>2</v>
      </c>
      <c r="L198" s="2">
        <v>100</v>
      </c>
      <c r="M198" s="1">
        <f t="shared" si="34"/>
        <v>100</v>
      </c>
      <c r="N198" s="1">
        <f t="shared" si="35"/>
        <v>100</v>
      </c>
      <c r="O198" t="s">
        <v>1053</v>
      </c>
    </row>
    <row r="199" spans="1:16" x14ac:dyDescent="0.35">
      <c r="A199" t="s">
        <v>249</v>
      </c>
      <c r="B199" t="str">
        <f>TRIM([1]Sheet1!AD199)</f>
        <v>Brian Dunn</v>
      </c>
      <c r="C199" t="str">
        <f>IF(UPPER(LEFT([1]Sheet1!W199,1))="F","FEMALE","MALE")</f>
        <v>MALE</v>
      </c>
      <c r="D199">
        <v>32</v>
      </c>
      <c r="E199" t="s">
        <v>74</v>
      </c>
      <c r="F199" t="s">
        <v>74</v>
      </c>
      <c r="G199" t="s">
        <v>75</v>
      </c>
      <c r="H199" t="s">
        <v>62</v>
      </c>
      <c r="I199" s="1">
        <v>11</v>
      </c>
      <c r="J199" s="1" t="str">
        <f t="shared" si="33"/>
        <v>11-16</v>
      </c>
      <c r="K199" s="1">
        <v>4.3</v>
      </c>
      <c r="L199" s="1">
        <v>40</v>
      </c>
      <c r="M199" s="1">
        <f t="shared" si="34"/>
        <v>40</v>
      </c>
      <c r="N199" s="1">
        <f t="shared" si="35"/>
        <v>40</v>
      </c>
      <c r="O199" t="s">
        <v>1054</v>
      </c>
      <c r="P199" s="4">
        <f>[2]Sheet1!K199</f>
        <v>0.86</v>
      </c>
    </row>
    <row r="200" spans="1:16" x14ac:dyDescent="0.35">
      <c r="A200" t="s">
        <v>250</v>
      </c>
      <c r="B200" t="str">
        <f>TRIM([1]Sheet1!AD200)</f>
        <v>Shirley Strickland</v>
      </c>
      <c r="C200" t="str">
        <f>IF(UPPER(LEFT([1]Sheet1!W200,1))="F","FEMALE","MALE")</f>
        <v>FEMALE</v>
      </c>
      <c r="D200">
        <v>50</v>
      </c>
      <c r="E200" t="s">
        <v>50</v>
      </c>
      <c r="F200" t="s">
        <v>50</v>
      </c>
      <c r="G200" t="s">
        <v>51</v>
      </c>
      <c r="H200" t="s">
        <v>16</v>
      </c>
      <c r="I200" s="1">
        <v>28</v>
      </c>
      <c r="J200" s="1" t="str">
        <f t="shared" si="33"/>
        <v>26-30</v>
      </c>
      <c r="K200" s="1">
        <v>4.9000000000000004</v>
      </c>
      <c r="L200" s="2">
        <v>100</v>
      </c>
      <c r="M200" s="1">
        <f t="shared" si="34"/>
        <v>100</v>
      </c>
      <c r="N200" s="1">
        <f t="shared" si="35"/>
        <v>100</v>
      </c>
      <c r="O200" t="s">
        <v>1054</v>
      </c>
      <c r="P200" s="4">
        <f>[2]Sheet1!K200</f>
        <v>0.86</v>
      </c>
    </row>
    <row r="201" spans="1:16" x14ac:dyDescent="0.35">
      <c r="A201" t="s">
        <v>251</v>
      </c>
      <c r="B201" t="str">
        <f>TRIM([1]Sheet1!AD201)</f>
        <v>Nicole Meyers</v>
      </c>
      <c r="C201" t="str">
        <f>IF(UPPER(LEFT([1]Sheet1!W201,1))="F","FEMALE","MALE")</f>
        <v>FEMALE</v>
      </c>
      <c r="D201">
        <v>39</v>
      </c>
      <c r="E201" t="s">
        <v>37</v>
      </c>
      <c r="F201" t="s">
        <v>37</v>
      </c>
      <c r="G201" t="s">
        <v>38</v>
      </c>
      <c r="H201" t="s">
        <v>27</v>
      </c>
      <c r="I201" s="1">
        <v>11</v>
      </c>
      <c r="J201" s="1" t="str">
        <f t="shared" si="33"/>
        <v>11-16</v>
      </c>
      <c r="K201" s="1">
        <v>3.5</v>
      </c>
      <c r="L201" s="1">
        <v>100</v>
      </c>
      <c r="M201" s="1">
        <f t="shared" si="34"/>
        <v>100</v>
      </c>
      <c r="N201" s="1">
        <f t="shared" si="35"/>
        <v>100</v>
      </c>
      <c r="O201" t="s">
        <v>1054</v>
      </c>
      <c r="P201" s="4">
        <f>[2]Sheet1!K201</f>
        <v>0.82</v>
      </c>
    </row>
    <row r="202" spans="1:16" x14ac:dyDescent="0.35">
      <c r="A202" t="s">
        <v>252</v>
      </c>
      <c r="B202" t="str">
        <f>TRIM([1]Sheet1!AD202)</f>
        <v>Jill Stephens</v>
      </c>
      <c r="C202" t="str">
        <f>IF(UPPER(LEFT([1]Sheet1!W202,1))="F","FEMALE","MALE")</f>
        <v>FEMALE</v>
      </c>
      <c r="D202">
        <v>25</v>
      </c>
      <c r="E202" t="s">
        <v>105</v>
      </c>
      <c r="F202" t="s">
        <v>105</v>
      </c>
      <c r="G202" t="s">
        <v>38</v>
      </c>
      <c r="H202" t="s">
        <v>23</v>
      </c>
      <c r="I202" s="1">
        <v>2</v>
      </c>
      <c r="J202" s="1" t="str">
        <f t="shared" si="33"/>
        <v>0-5</v>
      </c>
      <c r="K202" s="1">
        <v>2.5</v>
      </c>
      <c r="L202" s="1">
        <v>100</v>
      </c>
      <c r="M202" s="1">
        <f t="shared" si="34"/>
        <v>100</v>
      </c>
      <c r="N202" s="1">
        <f t="shared" si="35"/>
        <v>100</v>
      </c>
      <c r="O202" t="s">
        <v>1053</v>
      </c>
      <c r="P202" s="3">
        <f>[2]Sheet1!K202/100</f>
        <v>0.87</v>
      </c>
    </row>
    <row r="203" spans="1:16" x14ac:dyDescent="0.35">
      <c r="A203" t="s">
        <v>253</v>
      </c>
      <c r="B203" t="str">
        <f>TRIM([1]Sheet1!AD203)</f>
        <v>Heidi Miranda</v>
      </c>
      <c r="C203" t="str">
        <f>IF(UPPER(LEFT([1]Sheet1!W203,1))="F","FEMALE","MALE")</f>
        <v>FEMALE</v>
      </c>
      <c r="D203">
        <v>55</v>
      </c>
      <c r="E203" t="s">
        <v>96</v>
      </c>
      <c r="F203" t="s">
        <v>96</v>
      </c>
      <c r="G203" t="s">
        <v>97</v>
      </c>
      <c r="H203" t="s">
        <v>62</v>
      </c>
      <c r="I203" s="1">
        <v>7</v>
      </c>
      <c r="J203" s="1" t="str">
        <f t="shared" si="33"/>
        <v>5-10</v>
      </c>
      <c r="K203" s="1">
        <v>1.7</v>
      </c>
      <c r="L203" s="1">
        <v>100</v>
      </c>
      <c r="M203" s="1">
        <f t="shared" si="34"/>
        <v>100</v>
      </c>
      <c r="N203" s="1">
        <f t="shared" si="35"/>
        <v>100</v>
      </c>
      <c r="O203" t="s">
        <v>1054</v>
      </c>
      <c r="P203" s="4">
        <f>[2]Sheet1!K203</f>
        <v>0.8</v>
      </c>
    </row>
    <row r="204" spans="1:16" x14ac:dyDescent="0.35">
      <c r="A204" t="s">
        <v>254</v>
      </c>
      <c r="B204" t="str">
        <f>TRIM([1]Sheet1!AD204)</f>
        <v>Jesus Martinez</v>
      </c>
      <c r="C204" t="str">
        <f>IF(UPPER(LEFT([1]Sheet1!W204,1))="F","FEMALE","MALE")</f>
        <v>MALE</v>
      </c>
      <c r="D204">
        <v>42</v>
      </c>
      <c r="E204" t="s">
        <v>6</v>
      </c>
      <c r="F204" t="s">
        <v>6</v>
      </c>
      <c r="G204" t="s">
        <v>7</v>
      </c>
      <c r="H204" t="s">
        <v>48</v>
      </c>
      <c r="I204" s="1">
        <v>10</v>
      </c>
      <c r="J204" s="1" t="str">
        <f t="shared" si="33"/>
        <v>5-10</v>
      </c>
      <c r="K204" s="1">
        <v>4.5999999999999996</v>
      </c>
      <c r="L204" s="1" t="s">
        <v>1062</v>
      </c>
      <c r="M204" s="1" t="str">
        <f t="shared" si="34"/>
        <v>USD 100</v>
      </c>
      <c r="N204" s="1">
        <v>100</v>
      </c>
      <c r="O204" t="s">
        <v>1054</v>
      </c>
      <c r="P204" s="4">
        <f>[2]Sheet1!K204</f>
        <v>0.71</v>
      </c>
    </row>
    <row r="205" spans="1:16" x14ac:dyDescent="0.35">
      <c r="A205" t="s">
        <v>255</v>
      </c>
      <c r="B205" t="str">
        <f>TRIM([1]Sheet1!AD205)</f>
        <v>Adam Payne</v>
      </c>
      <c r="C205" t="str">
        <f>IF(UPPER(LEFT([1]Sheet1!W205,1))="F","FEMALE","MALE")</f>
        <v>MALE</v>
      </c>
      <c r="D205">
        <v>43</v>
      </c>
      <c r="E205" t="s">
        <v>67</v>
      </c>
      <c r="F205" t="s">
        <v>67</v>
      </c>
      <c r="G205" t="s">
        <v>68</v>
      </c>
      <c r="H205" t="s">
        <v>12</v>
      </c>
      <c r="I205" s="1">
        <v>6</v>
      </c>
      <c r="J205" s="1" t="str">
        <f t="shared" si="33"/>
        <v>5-10</v>
      </c>
      <c r="L205" s="1">
        <v>50</v>
      </c>
      <c r="M205" s="1">
        <f t="shared" si="34"/>
        <v>50</v>
      </c>
      <c r="N205" s="1">
        <f t="shared" ref="N205:N211" si="36">M205</f>
        <v>50</v>
      </c>
      <c r="O205" t="s">
        <v>1053</v>
      </c>
      <c r="P205" s="4">
        <f>[2]Sheet1!K205</f>
        <v>0.77</v>
      </c>
    </row>
    <row r="206" spans="1:16" x14ac:dyDescent="0.35">
      <c r="A206" t="s">
        <v>256</v>
      </c>
      <c r="B206" t="str">
        <f>TRIM([1]Sheet1!AD206)</f>
        <v>Walter Williams</v>
      </c>
      <c r="C206" t="str">
        <f>IF(UPPER(LEFT([1]Sheet1!W206,1))="F","FEMALE","MALE")</f>
        <v>MALE</v>
      </c>
      <c r="D206">
        <v>54</v>
      </c>
      <c r="E206" t="s">
        <v>6</v>
      </c>
      <c r="F206" t="s">
        <v>6</v>
      </c>
      <c r="G206" t="s">
        <v>7</v>
      </c>
      <c r="H206" t="s">
        <v>48</v>
      </c>
      <c r="I206" s="1">
        <v>29</v>
      </c>
      <c r="J206" s="1" t="str">
        <f t="shared" si="33"/>
        <v>26-30</v>
      </c>
      <c r="K206" s="1">
        <v>1.7</v>
      </c>
      <c r="L206" s="2">
        <v>30</v>
      </c>
      <c r="M206" s="1">
        <f t="shared" si="34"/>
        <v>30</v>
      </c>
      <c r="N206" s="1">
        <f t="shared" si="36"/>
        <v>30</v>
      </c>
      <c r="O206" t="s">
        <v>1053</v>
      </c>
      <c r="P206" s="3">
        <f>[2]Sheet1!K206/100</f>
        <v>0.68</v>
      </c>
    </row>
    <row r="207" spans="1:16" x14ac:dyDescent="0.35">
      <c r="A207" t="s">
        <v>257</v>
      </c>
      <c r="B207" t="str">
        <f>TRIM([1]Sheet1!AD207)</f>
        <v>Shannon Farmer</v>
      </c>
      <c r="C207" t="str">
        <f>IF(UPPER(LEFT([1]Sheet1!W207,1))="F","FEMALE","MALE")</f>
        <v>FEMALE</v>
      </c>
      <c r="D207">
        <v>21</v>
      </c>
      <c r="E207" t="s">
        <v>77</v>
      </c>
      <c r="F207" t="s">
        <v>77</v>
      </c>
      <c r="G207" t="s">
        <v>78</v>
      </c>
      <c r="H207" t="s">
        <v>16</v>
      </c>
      <c r="I207" s="1">
        <v>0</v>
      </c>
      <c r="J207" s="1" t="str">
        <f t="shared" si="33"/>
        <v>0-5</v>
      </c>
      <c r="K207" s="1">
        <v>1.8</v>
      </c>
      <c r="L207" s="1">
        <v>20</v>
      </c>
      <c r="M207" s="1">
        <f t="shared" si="34"/>
        <v>20</v>
      </c>
      <c r="N207" s="1">
        <f t="shared" si="36"/>
        <v>20</v>
      </c>
      <c r="O207" t="s">
        <v>1053</v>
      </c>
      <c r="P207" s="4">
        <f>[2]Sheet1!K207</f>
        <v>0.91</v>
      </c>
    </row>
    <row r="208" spans="1:16" x14ac:dyDescent="0.35">
      <c r="A208" t="s">
        <v>258</v>
      </c>
      <c r="B208" t="str">
        <f>TRIM([1]Sheet1!AD208)</f>
        <v>Peter Reyes</v>
      </c>
      <c r="C208" t="str">
        <f>IF(UPPER(LEFT([1]Sheet1!W208,1))="F","FEMALE","MALE")</f>
        <v>MALE</v>
      </c>
      <c r="D208">
        <v>46</v>
      </c>
      <c r="E208" t="s">
        <v>70</v>
      </c>
      <c r="F208" t="s">
        <v>70</v>
      </c>
      <c r="G208" t="s">
        <v>11</v>
      </c>
      <c r="H208" t="s">
        <v>39</v>
      </c>
      <c r="I208" s="1">
        <v>5</v>
      </c>
      <c r="J208" s="1" t="str">
        <f t="shared" si="33"/>
        <v>0-5</v>
      </c>
      <c r="K208" s="1">
        <v>2.2000000000000002</v>
      </c>
      <c r="L208" s="1">
        <v>20</v>
      </c>
      <c r="M208" s="1">
        <f t="shared" si="34"/>
        <v>20</v>
      </c>
      <c r="N208" s="1">
        <f t="shared" si="36"/>
        <v>20</v>
      </c>
      <c r="O208" t="s">
        <v>1053</v>
      </c>
      <c r="P208" s="4">
        <f>[2]Sheet1!K208</f>
        <v>0.75</v>
      </c>
    </row>
    <row r="209" spans="1:16" x14ac:dyDescent="0.35">
      <c r="A209" t="s">
        <v>259</v>
      </c>
      <c r="B209" t="str">
        <f>TRIM([1]Sheet1!AD209)</f>
        <v>Kristen Knight</v>
      </c>
      <c r="C209" t="str">
        <f>IF(UPPER(LEFT([1]Sheet1!W209,1))="F","FEMALE","MALE")</f>
        <v>FEMALE</v>
      </c>
      <c r="D209">
        <v>30</v>
      </c>
      <c r="E209" t="s">
        <v>105</v>
      </c>
      <c r="F209" t="s">
        <v>105</v>
      </c>
      <c r="G209" t="s">
        <v>38</v>
      </c>
      <c r="H209" t="s">
        <v>8</v>
      </c>
      <c r="I209" s="1">
        <v>11</v>
      </c>
      <c r="J209" s="1" t="str">
        <f t="shared" si="33"/>
        <v>11-16</v>
      </c>
      <c r="K209" s="1">
        <v>1</v>
      </c>
      <c r="L209" s="1">
        <v>40</v>
      </c>
      <c r="M209" s="1">
        <f t="shared" si="34"/>
        <v>40</v>
      </c>
      <c r="N209" s="1">
        <f t="shared" si="36"/>
        <v>40</v>
      </c>
      <c r="O209" t="s">
        <v>1053</v>
      </c>
      <c r="P209" s="4">
        <f>[2]Sheet1!K209</f>
        <v>0.9</v>
      </c>
    </row>
    <row r="210" spans="1:16" x14ac:dyDescent="0.35">
      <c r="A210" t="s">
        <v>260</v>
      </c>
      <c r="B210" t="str">
        <f>TRIM([1]Sheet1!AD210)</f>
        <v>William Moore</v>
      </c>
      <c r="C210" t="str">
        <f>IF(UPPER(LEFT([1]Sheet1!W210,1))="F","FEMALE","MALE")</f>
        <v>MALE</v>
      </c>
      <c r="D210">
        <v>36</v>
      </c>
      <c r="E210" t="s">
        <v>96</v>
      </c>
      <c r="F210" t="s">
        <v>96</v>
      </c>
      <c r="G210" t="s">
        <v>97</v>
      </c>
      <c r="H210" t="s">
        <v>62</v>
      </c>
      <c r="I210" s="1">
        <v>11</v>
      </c>
      <c r="J210" s="1" t="str">
        <f t="shared" si="33"/>
        <v>11-16</v>
      </c>
      <c r="K210" s="1">
        <v>3.2</v>
      </c>
      <c r="L210" s="2">
        <v>75</v>
      </c>
      <c r="M210" s="1">
        <f t="shared" si="34"/>
        <v>75</v>
      </c>
      <c r="N210" s="1">
        <f t="shared" si="36"/>
        <v>75</v>
      </c>
      <c r="O210" t="s">
        <v>1053</v>
      </c>
      <c r="P210" s="3">
        <f>[2]Sheet1!K210/100</f>
        <v>0.93</v>
      </c>
    </row>
    <row r="211" spans="1:16" x14ac:dyDescent="0.35">
      <c r="A211" t="s">
        <v>261</v>
      </c>
      <c r="B211" t="str">
        <f>TRIM([1]Sheet1!AD211)</f>
        <v>Jennifer Rowe</v>
      </c>
      <c r="C211" t="str">
        <f>IF(UPPER(LEFT([1]Sheet1!W211,1))="F","FEMALE","MALE")</f>
        <v>FEMALE</v>
      </c>
      <c r="D211">
        <v>47</v>
      </c>
      <c r="E211" t="s">
        <v>14</v>
      </c>
      <c r="F211" t="s">
        <v>14</v>
      </c>
      <c r="G211" t="s">
        <v>15</v>
      </c>
      <c r="H211" t="s">
        <v>27</v>
      </c>
      <c r="I211" s="1">
        <v>15</v>
      </c>
      <c r="J211" s="1" t="str">
        <f t="shared" si="33"/>
        <v>11-16</v>
      </c>
      <c r="K211" s="1">
        <v>2.1</v>
      </c>
      <c r="L211" s="1">
        <v>40</v>
      </c>
      <c r="M211" s="1">
        <f t="shared" si="34"/>
        <v>40</v>
      </c>
      <c r="N211" s="1">
        <f t="shared" si="36"/>
        <v>40</v>
      </c>
      <c r="O211" t="s">
        <v>1054</v>
      </c>
      <c r="P211" s="4">
        <f>[2]Sheet1!K211</f>
        <v>0.94</v>
      </c>
    </row>
    <row r="212" spans="1:16" x14ac:dyDescent="0.35">
      <c r="A212" t="s">
        <v>262</v>
      </c>
      <c r="B212" t="str">
        <f>TRIM([1]Sheet1!AD212)</f>
        <v>Mikayla Henry</v>
      </c>
      <c r="C212" t="str">
        <f>IF(UPPER(LEFT([1]Sheet1!W212,1))="F","FEMALE","MALE")</f>
        <v>FEMALE</v>
      </c>
      <c r="D212">
        <v>43</v>
      </c>
      <c r="E212" t="s">
        <v>70</v>
      </c>
      <c r="F212" t="s">
        <v>70</v>
      </c>
      <c r="G212" t="s">
        <v>11</v>
      </c>
      <c r="H212" t="s">
        <v>12</v>
      </c>
      <c r="I212" s="1">
        <v>1</v>
      </c>
      <c r="J212" s="1" t="str">
        <f t="shared" si="33"/>
        <v>0-5</v>
      </c>
      <c r="K212" s="1">
        <v>4.5999999999999996</v>
      </c>
      <c r="L212" s="1" t="s">
        <v>1065</v>
      </c>
      <c r="M212" s="1" t="str">
        <f t="shared" si="34"/>
        <v>USD 50</v>
      </c>
      <c r="N212" s="1">
        <v>50</v>
      </c>
      <c r="O212" t="s">
        <v>1054</v>
      </c>
      <c r="P212" s="3">
        <f>[2]Sheet1!K212/100</f>
        <v>0.64</v>
      </c>
    </row>
    <row r="213" spans="1:16" x14ac:dyDescent="0.35">
      <c r="A213" t="s">
        <v>263</v>
      </c>
      <c r="B213" t="str">
        <f>TRIM([1]Sheet1!AD213)</f>
        <v>Jacob Kerr</v>
      </c>
      <c r="C213" t="str">
        <f>IF(UPPER(LEFT([1]Sheet1!W213,1))="F","FEMALE","MALE")</f>
        <v>MALE</v>
      </c>
      <c r="D213">
        <v>57</v>
      </c>
      <c r="E213" t="s">
        <v>60</v>
      </c>
      <c r="F213" t="s">
        <v>60</v>
      </c>
      <c r="G213" t="s">
        <v>61</v>
      </c>
      <c r="H213" t="s">
        <v>41</v>
      </c>
      <c r="I213" s="1">
        <v>8</v>
      </c>
      <c r="J213" s="1" t="str">
        <f t="shared" si="33"/>
        <v>5-10</v>
      </c>
      <c r="K213" s="1">
        <v>0</v>
      </c>
      <c r="L213" s="2">
        <v>20</v>
      </c>
      <c r="M213" s="1">
        <f t="shared" si="34"/>
        <v>20</v>
      </c>
      <c r="N213" s="1">
        <f t="shared" ref="N213:N218" si="37">M213</f>
        <v>20</v>
      </c>
      <c r="O213" t="s">
        <v>1054</v>
      </c>
      <c r="P213" s="4">
        <f>[2]Sheet1!K213</f>
        <v>0.84</v>
      </c>
    </row>
    <row r="214" spans="1:16" x14ac:dyDescent="0.35">
      <c r="A214" t="s">
        <v>264</v>
      </c>
      <c r="B214" t="str">
        <f>TRIM([1]Sheet1!AD214)</f>
        <v>Ryan Johnson</v>
      </c>
      <c r="C214" t="str">
        <f>IF(UPPER(LEFT([1]Sheet1!W214,1))="F","FEMALE","MALE")</f>
        <v>MALE</v>
      </c>
      <c r="D214">
        <v>52</v>
      </c>
      <c r="E214" t="s">
        <v>6</v>
      </c>
      <c r="F214" t="s">
        <v>6</v>
      </c>
      <c r="G214" t="s">
        <v>7</v>
      </c>
      <c r="H214" t="s">
        <v>62</v>
      </c>
      <c r="I214" s="1">
        <v>30</v>
      </c>
      <c r="J214" s="1" t="str">
        <f t="shared" si="33"/>
        <v>26-30</v>
      </c>
      <c r="K214" s="1">
        <v>2.8</v>
      </c>
      <c r="L214" s="2">
        <v>20</v>
      </c>
      <c r="M214" s="1">
        <f t="shared" si="34"/>
        <v>20</v>
      </c>
      <c r="N214" s="1">
        <f t="shared" si="37"/>
        <v>20</v>
      </c>
      <c r="O214" t="s">
        <v>1053</v>
      </c>
      <c r="P214" s="4">
        <f>[2]Sheet1!K214</f>
        <v>0.87</v>
      </c>
    </row>
    <row r="215" spans="1:16" x14ac:dyDescent="0.35">
      <c r="A215" t="s">
        <v>265</v>
      </c>
      <c r="B215" t="str">
        <f>TRIM([1]Sheet1!AD215)</f>
        <v>Michael Ruiz</v>
      </c>
      <c r="C215" t="str">
        <f>IF(UPPER(LEFT([1]Sheet1!W215,1))="F","FEMALE","MALE")</f>
        <v>MALE</v>
      </c>
      <c r="E215" t="s">
        <v>14</v>
      </c>
      <c r="F215" t="s">
        <v>14</v>
      </c>
      <c r="G215" t="s">
        <v>15</v>
      </c>
      <c r="H215" t="s">
        <v>8</v>
      </c>
      <c r="I215" s="1">
        <v>8</v>
      </c>
      <c r="J215" s="1" t="str">
        <f t="shared" si="33"/>
        <v>5-10</v>
      </c>
      <c r="K215" s="1">
        <v>0</v>
      </c>
      <c r="L215" s="2">
        <v>40</v>
      </c>
      <c r="M215" s="1">
        <f t="shared" si="34"/>
        <v>40</v>
      </c>
      <c r="N215" s="1">
        <f t="shared" si="37"/>
        <v>40</v>
      </c>
      <c r="O215" t="s">
        <v>1053</v>
      </c>
      <c r="P215" s="4">
        <f>[2]Sheet1!K215</f>
        <v>0.64</v>
      </c>
    </row>
    <row r="216" spans="1:16" x14ac:dyDescent="0.35">
      <c r="A216" t="s">
        <v>266</v>
      </c>
      <c r="B216" t="str">
        <f>TRIM([1]Sheet1!AD216)</f>
        <v>Monica Roberts</v>
      </c>
      <c r="C216" t="str">
        <f>IF(UPPER(LEFT([1]Sheet1!W216,1))="F","FEMALE","MALE")</f>
        <v>FEMALE</v>
      </c>
      <c r="D216">
        <v>22</v>
      </c>
      <c r="E216" t="s">
        <v>25</v>
      </c>
      <c r="F216" t="s">
        <v>25</v>
      </c>
      <c r="G216" t="s">
        <v>26</v>
      </c>
      <c r="H216" t="s">
        <v>62</v>
      </c>
      <c r="I216" s="1">
        <v>0</v>
      </c>
      <c r="J216" s="1" t="str">
        <f t="shared" si="33"/>
        <v>0-5</v>
      </c>
      <c r="K216" s="1">
        <v>2.7</v>
      </c>
      <c r="L216" s="1">
        <v>100</v>
      </c>
      <c r="M216" s="1">
        <f t="shared" si="34"/>
        <v>100</v>
      </c>
      <c r="N216" s="1">
        <f t="shared" si="37"/>
        <v>100</v>
      </c>
      <c r="O216" t="s">
        <v>1054</v>
      </c>
      <c r="P216" s="4">
        <f>[2]Sheet1!K216</f>
        <v>0.64</v>
      </c>
    </row>
    <row r="217" spans="1:16" x14ac:dyDescent="0.35">
      <c r="A217" t="s">
        <v>267</v>
      </c>
      <c r="B217" t="str">
        <f>TRIM([1]Sheet1!AD217)</f>
        <v>Danny Brown</v>
      </c>
      <c r="C217" t="str">
        <f>IF(UPPER(LEFT([1]Sheet1!W217,1))="F","FEMALE","MALE")</f>
        <v>MALE</v>
      </c>
      <c r="E217" t="s">
        <v>50</v>
      </c>
      <c r="F217" t="s">
        <v>50</v>
      </c>
      <c r="G217" t="s">
        <v>51</v>
      </c>
      <c r="H217" t="s">
        <v>62</v>
      </c>
      <c r="I217" s="1">
        <v>12</v>
      </c>
      <c r="J217" s="1" t="str">
        <f t="shared" si="33"/>
        <v>11-16</v>
      </c>
      <c r="K217" s="1">
        <v>0</v>
      </c>
      <c r="L217" s="2">
        <v>20</v>
      </c>
      <c r="M217" s="1">
        <f t="shared" si="34"/>
        <v>20</v>
      </c>
      <c r="N217" s="1">
        <f t="shared" si="37"/>
        <v>20</v>
      </c>
      <c r="O217" t="s">
        <v>1054</v>
      </c>
      <c r="P217" s="4">
        <f>[2]Sheet1!K217</f>
        <v>0.8</v>
      </c>
    </row>
    <row r="218" spans="1:16" x14ac:dyDescent="0.35">
      <c r="A218" t="s">
        <v>268</v>
      </c>
      <c r="B218" t="str">
        <f>TRIM([1]Sheet1!AD218)</f>
        <v>Karen Larsen</v>
      </c>
      <c r="C218" t="str">
        <f>IF(UPPER(LEFT([1]Sheet1!W218,1))="F","FEMALE","MALE")</f>
        <v>FEMALE</v>
      </c>
      <c r="D218">
        <v>58</v>
      </c>
      <c r="E218" t="s">
        <v>105</v>
      </c>
      <c r="F218" t="s">
        <v>105</v>
      </c>
      <c r="G218" t="s">
        <v>38</v>
      </c>
      <c r="H218" t="s">
        <v>12</v>
      </c>
      <c r="I218" s="1">
        <v>4</v>
      </c>
      <c r="J218" s="1" t="str">
        <f t="shared" si="33"/>
        <v>0-5</v>
      </c>
      <c r="K218" s="1">
        <v>3.1</v>
      </c>
      <c r="L218" s="2">
        <v>50</v>
      </c>
      <c r="M218" s="1">
        <f t="shared" si="34"/>
        <v>50</v>
      </c>
      <c r="N218" s="1">
        <f t="shared" si="37"/>
        <v>50</v>
      </c>
      <c r="O218" t="s">
        <v>1053</v>
      </c>
      <c r="P218" s="4">
        <f>[2]Sheet1!K218</f>
        <v>0.9</v>
      </c>
    </row>
    <row r="219" spans="1:16" x14ac:dyDescent="0.35">
      <c r="A219" t="s">
        <v>269</v>
      </c>
      <c r="B219" t="str">
        <f>TRIM([1]Sheet1!AD219)</f>
        <v>Robert Evans</v>
      </c>
      <c r="C219" t="str">
        <f>IF(UPPER(LEFT([1]Sheet1!W219,1))="F","FEMALE","MALE")</f>
        <v>MALE</v>
      </c>
      <c r="D219">
        <v>39</v>
      </c>
      <c r="E219" t="s">
        <v>60</v>
      </c>
      <c r="F219" t="s">
        <v>60</v>
      </c>
      <c r="G219" t="s">
        <v>61</v>
      </c>
      <c r="H219" t="s">
        <v>18</v>
      </c>
      <c r="I219" s="1">
        <v>14</v>
      </c>
      <c r="J219" s="1" t="str">
        <f t="shared" si="33"/>
        <v>11-16</v>
      </c>
      <c r="K219" s="1">
        <v>0</v>
      </c>
      <c r="L219" s="1" t="s">
        <v>1062</v>
      </c>
      <c r="M219" s="1" t="str">
        <f t="shared" si="34"/>
        <v>USD 100</v>
      </c>
      <c r="N219" s="1">
        <v>100</v>
      </c>
      <c r="O219" t="s">
        <v>1054</v>
      </c>
      <c r="P219" s="4">
        <f>[2]Sheet1!K219</f>
        <v>0.92</v>
      </c>
    </row>
    <row r="220" spans="1:16" x14ac:dyDescent="0.35">
      <c r="A220" t="s">
        <v>270</v>
      </c>
      <c r="B220" t="str">
        <f>TRIM([1]Sheet1!AD220)</f>
        <v>Sean Poole</v>
      </c>
      <c r="C220" t="str">
        <f>IF(UPPER(LEFT([1]Sheet1!W220,1))="F","FEMALE","MALE")</f>
        <v>MALE</v>
      </c>
      <c r="D220">
        <v>32</v>
      </c>
      <c r="E220" t="s">
        <v>25</v>
      </c>
      <c r="F220" t="s">
        <v>25</v>
      </c>
      <c r="G220" t="s">
        <v>26</v>
      </c>
      <c r="H220" t="s">
        <v>16</v>
      </c>
      <c r="I220" s="1">
        <v>14</v>
      </c>
      <c r="J220" s="1" t="str">
        <f t="shared" si="33"/>
        <v>11-16</v>
      </c>
      <c r="M220" s="1">
        <f t="shared" si="34"/>
        <v>0</v>
      </c>
      <c r="N220" s="1">
        <f t="shared" ref="N220:N223" si="38">M220</f>
        <v>0</v>
      </c>
      <c r="O220" t="s">
        <v>1053</v>
      </c>
      <c r="P220" s="4">
        <f>[2]Sheet1!K220</f>
        <v>0.96</v>
      </c>
    </row>
    <row r="221" spans="1:16" x14ac:dyDescent="0.35">
      <c r="A221" t="s">
        <v>271</v>
      </c>
      <c r="B221" t="str">
        <f>TRIM([1]Sheet1!AD221)</f>
        <v>Richard Quinn</v>
      </c>
      <c r="C221" t="str">
        <f>IF(UPPER(LEFT([1]Sheet1!W221,1))="F","FEMALE","MALE")</f>
        <v>MALE</v>
      </c>
      <c r="D221">
        <v>37</v>
      </c>
      <c r="E221" t="s">
        <v>70</v>
      </c>
      <c r="F221" t="s">
        <v>70</v>
      </c>
      <c r="G221" t="s">
        <v>11</v>
      </c>
      <c r="H221" t="s">
        <v>39</v>
      </c>
      <c r="I221" s="1">
        <v>2</v>
      </c>
      <c r="J221" s="1" t="str">
        <f t="shared" si="33"/>
        <v>0-5</v>
      </c>
      <c r="K221" s="1">
        <v>2.2999999999999998</v>
      </c>
      <c r="L221" s="2">
        <v>30</v>
      </c>
      <c r="M221" s="1">
        <f t="shared" si="34"/>
        <v>30</v>
      </c>
      <c r="N221" s="1">
        <f t="shared" si="38"/>
        <v>30</v>
      </c>
      <c r="O221" t="s">
        <v>1054</v>
      </c>
    </row>
    <row r="222" spans="1:16" x14ac:dyDescent="0.35">
      <c r="A222" t="s">
        <v>272</v>
      </c>
      <c r="B222" t="str">
        <f>TRIM([1]Sheet1!AD222)</f>
        <v>Jennifer Gonzalez</v>
      </c>
      <c r="C222" t="str">
        <f>IF(UPPER(LEFT([1]Sheet1!W222,1))="F","FEMALE","MALE")</f>
        <v>FEMALE</v>
      </c>
      <c r="D222">
        <v>21</v>
      </c>
      <c r="E222" t="s">
        <v>96</v>
      </c>
      <c r="F222" t="s">
        <v>96</v>
      </c>
      <c r="G222" t="s">
        <v>97</v>
      </c>
      <c r="H222" t="s">
        <v>41</v>
      </c>
      <c r="I222" s="1">
        <v>2</v>
      </c>
      <c r="J222" s="1" t="str">
        <f t="shared" si="33"/>
        <v>0-5</v>
      </c>
      <c r="K222" s="1">
        <v>2.4</v>
      </c>
      <c r="L222" s="1">
        <v>100</v>
      </c>
      <c r="M222" s="1">
        <f t="shared" si="34"/>
        <v>100</v>
      </c>
      <c r="N222" s="1">
        <f t="shared" si="38"/>
        <v>100</v>
      </c>
      <c r="O222" t="s">
        <v>1054</v>
      </c>
    </row>
    <row r="223" spans="1:16" x14ac:dyDescent="0.35">
      <c r="A223" t="s">
        <v>273</v>
      </c>
      <c r="B223" t="str">
        <f>TRIM([1]Sheet1!AD223)</f>
        <v>James Skinner</v>
      </c>
      <c r="C223" t="str">
        <f>IF(UPPER(LEFT([1]Sheet1!W223,1))="F","FEMALE","MALE")</f>
        <v>MALE</v>
      </c>
      <c r="D223">
        <v>41</v>
      </c>
      <c r="E223" t="s">
        <v>60</v>
      </c>
      <c r="F223" t="s">
        <v>60</v>
      </c>
      <c r="G223" t="s">
        <v>61</v>
      </c>
      <c r="H223" t="s">
        <v>62</v>
      </c>
      <c r="I223" s="1">
        <v>4</v>
      </c>
      <c r="J223" s="1" t="str">
        <f t="shared" si="33"/>
        <v>0-5</v>
      </c>
      <c r="K223" s="1">
        <v>2.6</v>
      </c>
      <c r="L223" s="1">
        <v>75</v>
      </c>
      <c r="M223" s="1">
        <f t="shared" si="34"/>
        <v>75</v>
      </c>
      <c r="N223" s="1">
        <f t="shared" si="38"/>
        <v>75</v>
      </c>
      <c r="P223" s="4">
        <f>[2]Sheet1!K223</f>
        <v>0.85</v>
      </c>
    </row>
    <row r="224" spans="1:16" x14ac:dyDescent="0.35">
      <c r="A224" t="s">
        <v>274</v>
      </c>
      <c r="B224" t="str">
        <f>TRIM([1]Sheet1!AD224)</f>
        <v>Michelle Hill</v>
      </c>
      <c r="C224" t="str">
        <f>IF(UPPER(LEFT([1]Sheet1!W224,1))="F","FEMALE","MALE")</f>
        <v>FEMALE</v>
      </c>
      <c r="D224">
        <v>21</v>
      </c>
      <c r="E224" t="s">
        <v>70</v>
      </c>
      <c r="F224" t="s">
        <v>70</v>
      </c>
      <c r="G224" t="s">
        <v>11</v>
      </c>
      <c r="H224" t="s">
        <v>23</v>
      </c>
      <c r="I224" s="1">
        <v>0</v>
      </c>
      <c r="J224" s="1" t="str">
        <f t="shared" si="33"/>
        <v>0-5</v>
      </c>
      <c r="K224" s="1">
        <v>1.1000000000000001</v>
      </c>
      <c r="L224" s="1" t="s">
        <v>1064</v>
      </c>
      <c r="M224" s="1" t="str">
        <f t="shared" si="34"/>
        <v>USD 40</v>
      </c>
      <c r="N224" s="1">
        <v>40</v>
      </c>
      <c r="O224" t="s">
        <v>1053</v>
      </c>
      <c r="P224" s="4">
        <f>[2]Sheet1!K224</f>
        <v>0.79</v>
      </c>
    </row>
    <row r="225" spans="1:16" x14ac:dyDescent="0.35">
      <c r="A225" t="s">
        <v>275</v>
      </c>
      <c r="B225" t="str">
        <f>TRIM([1]Sheet1!AD225)</f>
        <v>Jacqueline Williams</v>
      </c>
      <c r="C225" t="str">
        <f>IF(UPPER(LEFT([1]Sheet1!W225,1))="F","FEMALE","MALE")</f>
        <v>FEMALE</v>
      </c>
      <c r="D225">
        <v>58</v>
      </c>
      <c r="E225" t="s">
        <v>96</v>
      </c>
      <c r="F225" t="s">
        <v>96</v>
      </c>
      <c r="G225" t="s">
        <v>97</v>
      </c>
      <c r="H225" t="s">
        <v>62</v>
      </c>
      <c r="I225" s="1">
        <v>9</v>
      </c>
      <c r="J225" s="1" t="str">
        <f t="shared" si="33"/>
        <v>5-10</v>
      </c>
      <c r="K225" s="1">
        <v>0</v>
      </c>
      <c r="L225" s="1">
        <v>30</v>
      </c>
      <c r="M225" s="1">
        <f t="shared" si="34"/>
        <v>30</v>
      </c>
      <c r="N225" s="1">
        <f t="shared" ref="N225:N227" si="39">M225</f>
        <v>30</v>
      </c>
      <c r="O225" t="s">
        <v>1054</v>
      </c>
      <c r="P225" s="4">
        <f>[2]Sheet1!K225</f>
        <v>0.65</v>
      </c>
    </row>
    <row r="226" spans="1:16" x14ac:dyDescent="0.35">
      <c r="A226" t="s">
        <v>276</v>
      </c>
      <c r="B226" t="str">
        <f>TRIM([1]Sheet1!AD226)</f>
        <v>Darrell Johnson</v>
      </c>
      <c r="C226" t="str">
        <f>IF(UPPER(LEFT([1]Sheet1!W226,1))="F","FEMALE","MALE")</f>
        <v>MALE</v>
      </c>
      <c r="D226">
        <v>60</v>
      </c>
      <c r="E226" t="s">
        <v>70</v>
      </c>
      <c r="F226" t="s">
        <v>70</v>
      </c>
      <c r="G226" t="s">
        <v>11</v>
      </c>
      <c r="H226" t="s">
        <v>62</v>
      </c>
      <c r="I226" s="1">
        <v>3</v>
      </c>
      <c r="J226" s="1" t="str">
        <f t="shared" si="33"/>
        <v>0-5</v>
      </c>
      <c r="K226" s="1">
        <v>4.7</v>
      </c>
      <c r="L226" s="1">
        <v>40</v>
      </c>
      <c r="M226" s="1">
        <f t="shared" si="34"/>
        <v>40</v>
      </c>
      <c r="N226" s="1">
        <f t="shared" si="39"/>
        <v>40</v>
      </c>
      <c r="O226" t="s">
        <v>1053</v>
      </c>
      <c r="P226" s="4">
        <f>[2]Sheet1!K226</f>
        <v>0.63</v>
      </c>
    </row>
    <row r="227" spans="1:16" x14ac:dyDescent="0.35">
      <c r="A227" t="s">
        <v>277</v>
      </c>
      <c r="B227" t="str">
        <f>TRIM([1]Sheet1!AD227)</f>
        <v>Ryan Crawford</v>
      </c>
      <c r="C227" t="str">
        <f>IF(UPPER(LEFT([1]Sheet1!W227,1))="F","FEMALE","MALE")</f>
        <v>MALE</v>
      </c>
      <c r="D227">
        <v>27</v>
      </c>
      <c r="E227" t="s">
        <v>85</v>
      </c>
      <c r="F227" t="s">
        <v>85</v>
      </c>
      <c r="G227" t="s">
        <v>86</v>
      </c>
      <c r="H227" t="s">
        <v>18</v>
      </c>
      <c r="I227" s="1">
        <v>2</v>
      </c>
      <c r="J227" s="1" t="str">
        <f t="shared" si="33"/>
        <v>0-5</v>
      </c>
      <c r="K227" s="1">
        <v>1.2</v>
      </c>
      <c r="L227" s="2">
        <v>40</v>
      </c>
      <c r="M227" s="1">
        <f t="shared" si="34"/>
        <v>40</v>
      </c>
      <c r="N227" s="1">
        <f t="shared" si="39"/>
        <v>40</v>
      </c>
      <c r="O227" t="s">
        <v>1053</v>
      </c>
    </row>
    <row r="228" spans="1:16" x14ac:dyDescent="0.35">
      <c r="A228" t="s">
        <v>278</v>
      </c>
      <c r="B228" t="str">
        <f>TRIM([1]Sheet1!AD228)</f>
        <v>Chelsea Barber</v>
      </c>
      <c r="C228" t="str">
        <f>IF(UPPER(LEFT([1]Sheet1!W228,1))="F","FEMALE","MALE")</f>
        <v>FEMALE</v>
      </c>
      <c r="D228">
        <v>29</v>
      </c>
      <c r="E228" t="s">
        <v>14</v>
      </c>
      <c r="F228" t="s">
        <v>14</v>
      </c>
      <c r="G228" t="s">
        <v>15</v>
      </c>
      <c r="H228" t="s">
        <v>62</v>
      </c>
      <c r="I228" s="1">
        <v>10</v>
      </c>
      <c r="J228" s="1" t="str">
        <f t="shared" si="33"/>
        <v>5-10</v>
      </c>
      <c r="K228" s="1">
        <v>1.2</v>
      </c>
      <c r="L228" s="1" t="s">
        <v>1064</v>
      </c>
      <c r="M228" s="1" t="str">
        <f t="shared" si="34"/>
        <v>USD 40</v>
      </c>
      <c r="N228" s="1">
        <v>40</v>
      </c>
      <c r="O228" t="s">
        <v>1053</v>
      </c>
      <c r="P228" s="4">
        <f>[2]Sheet1!K228</f>
        <v>0.78</v>
      </c>
    </row>
    <row r="229" spans="1:16" x14ac:dyDescent="0.35">
      <c r="A229" t="s">
        <v>279</v>
      </c>
      <c r="B229" t="str">
        <f>TRIM([1]Sheet1!AD229)</f>
        <v>Elaine Martinez</v>
      </c>
      <c r="C229" t="str">
        <f>IF(UPPER(LEFT([1]Sheet1!W229,1))="F","FEMALE","MALE")</f>
        <v>FEMALE</v>
      </c>
      <c r="D229">
        <v>54</v>
      </c>
      <c r="E229" t="s">
        <v>70</v>
      </c>
      <c r="F229" t="s">
        <v>70</v>
      </c>
      <c r="G229" t="s">
        <v>11</v>
      </c>
      <c r="H229" t="s">
        <v>16</v>
      </c>
      <c r="I229" s="1">
        <v>33</v>
      </c>
      <c r="J229" s="1" t="str">
        <f t="shared" si="33"/>
        <v>31+</v>
      </c>
      <c r="K229" s="1">
        <v>0</v>
      </c>
      <c r="L229" s="2">
        <v>75</v>
      </c>
      <c r="M229" s="1">
        <f t="shared" si="34"/>
        <v>75</v>
      </c>
      <c r="N229" s="1">
        <f t="shared" ref="N229:N239" si="40">M229</f>
        <v>75</v>
      </c>
      <c r="O229" t="s">
        <v>1054</v>
      </c>
      <c r="P229" s="4">
        <f>[2]Sheet1!K229</f>
        <v>0.62</v>
      </c>
    </row>
    <row r="230" spans="1:16" x14ac:dyDescent="0.35">
      <c r="A230" t="s">
        <v>280</v>
      </c>
      <c r="B230" t="str">
        <f>TRIM([1]Sheet1!AD230)</f>
        <v>Joseph Kent</v>
      </c>
      <c r="C230" t="str">
        <f>IF(UPPER(LEFT([1]Sheet1!W230,1))="F","FEMALE","MALE")</f>
        <v>MALE</v>
      </c>
      <c r="D230">
        <v>52</v>
      </c>
      <c r="E230" t="s">
        <v>99</v>
      </c>
      <c r="F230" t="s">
        <v>99</v>
      </c>
      <c r="G230" t="s">
        <v>38</v>
      </c>
      <c r="H230" t="s">
        <v>62</v>
      </c>
      <c r="I230" s="1">
        <v>12</v>
      </c>
      <c r="J230" s="1" t="str">
        <f t="shared" si="33"/>
        <v>11-16</v>
      </c>
      <c r="K230" s="1">
        <v>1.2</v>
      </c>
      <c r="L230" s="1">
        <v>40</v>
      </c>
      <c r="M230" s="1">
        <f t="shared" si="34"/>
        <v>40</v>
      </c>
      <c r="N230" s="1">
        <f t="shared" si="40"/>
        <v>40</v>
      </c>
      <c r="O230" t="s">
        <v>1053</v>
      </c>
      <c r="P230" s="4">
        <f>[2]Sheet1!K230</f>
        <v>0.76</v>
      </c>
    </row>
    <row r="231" spans="1:16" x14ac:dyDescent="0.35">
      <c r="A231" t="s">
        <v>281</v>
      </c>
      <c r="B231" t="str">
        <f>TRIM([1]Sheet1!AD231)</f>
        <v>Megan Welch</v>
      </c>
      <c r="C231" t="str">
        <f>IF(UPPER(LEFT([1]Sheet1!W231,1))="F","FEMALE","MALE")</f>
        <v>FEMALE</v>
      </c>
      <c r="D231">
        <v>55</v>
      </c>
      <c r="E231" t="s">
        <v>25</v>
      </c>
      <c r="F231" t="s">
        <v>25</v>
      </c>
      <c r="G231" t="s">
        <v>26</v>
      </c>
      <c r="H231" t="s">
        <v>8</v>
      </c>
      <c r="I231" s="1">
        <v>18</v>
      </c>
      <c r="J231" s="1" t="str">
        <f t="shared" si="33"/>
        <v xml:space="preserve"> 16-20</v>
      </c>
      <c r="K231" s="1">
        <v>2.9</v>
      </c>
      <c r="L231" s="1">
        <v>100</v>
      </c>
      <c r="M231" s="1">
        <f t="shared" si="34"/>
        <v>100</v>
      </c>
      <c r="N231" s="1">
        <f t="shared" si="40"/>
        <v>100</v>
      </c>
      <c r="O231" t="s">
        <v>1053</v>
      </c>
      <c r="P231" s="3">
        <f>[2]Sheet1!K231/100</f>
        <v>0.97</v>
      </c>
    </row>
    <row r="232" spans="1:16" x14ac:dyDescent="0.35">
      <c r="A232" t="s">
        <v>282</v>
      </c>
      <c r="B232" t="str">
        <f>TRIM([1]Sheet1!AD232)</f>
        <v>Stephen Ramirez</v>
      </c>
      <c r="C232" t="str">
        <f>IF(UPPER(LEFT([1]Sheet1!W232,1))="F","FEMALE","MALE")</f>
        <v>MALE</v>
      </c>
      <c r="D232">
        <v>37</v>
      </c>
      <c r="E232" t="s">
        <v>57</v>
      </c>
      <c r="F232" t="s">
        <v>57</v>
      </c>
      <c r="G232" t="s">
        <v>58</v>
      </c>
      <c r="H232" t="s">
        <v>8</v>
      </c>
      <c r="I232" s="1">
        <v>4</v>
      </c>
      <c r="J232" s="1" t="str">
        <f t="shared" si="33"/>
        <v>0-5</v>
      </c>
      <c r="M232" s="1">
        <f t="shared" si="34"/>
        <v>0</v>
      </c>
      <c r="N232" s="1">
        <f t="shared" si="40"/>
        <v>0</v>
      </c>
      <c r="O232" t="s">
        <v>1053</v>
      </c>
    </row>
    <row r="233" spans="1:16" x14ac:dyDescent="0.35">
      <c r="A233" t="s">
        <v>283</v>
      </c>
      <c r="B233" t="str">
        <f>TRIM([1]Sheet1!AD233)</f>
        <v>Chloe Gray</v>
      </c>
      <c r="C233" t="str">
        <f>IF(UPPER(LEFT([1]Sheet1!W233,1))="F","FEMALE","MALE")</f>
        <v>FEMALE</v>
      </c>
      <c r="D233">
        <v>34</v>
      </c>
      <c r="E233" t="s">
        <v>77</v>
      </c>
      <c r="F233" t="s">
        <v>77</v>
      </c>
      <c r="G233" t="s">
        <v>78</v>
      </c>
      <c r="H233" t="s">
        <v>27</v>
      </c>
      <c r="I233" s="1">
        <v>11</v>
      </c>
      <c r="J233" s="1" t="str">
        <f t="shared" si="33"/>
        <v>11-16</v>
      </c>
      <c r="K233" s="1">
        <v>3.9</v>
      </c>
      <c r="L233" s="2">
        <v>50</v>
      </c>
      <c r="M233" s="1">
        <f t="shared" si="34"/>
        <v>50</v>
      </c>
      <c r="N233" s="1">
        <f t="shared" si="40"/>
        <v>50</v>
      </c>
      <c r="O233" t="s">
        <v>1054</v>
      </c>
      <c r="P233" s="4">
        <f>[2]Sheet1!K233</f>
        <v>0.82</v>
      </c>
    </row>
    <row r="234" spans="1:16" x14ac:dyDescent="0.35">
      <c r="A234" t="s">
        <v>284</v>
      </c>
      <c r="B234" t="str">
        <f>TRIM([1]Sheet1!AD234)</f>
        <v>Michael Williams</v>
      </c>
      <c r="C234" t="str">
        <f>IF(UPPER(LEFT([1]Sheet1!W234,1))="F","FEMALE","MALE")</f>
        <v>MALE</v>
      </c>
      <c r="D234">
        <v>20</v>
      </c>
      <c r="E234" t="s">
        <v>74</v>
      </c>
      <c r="F234" t="s">
        <v>74</v>
      </c>
      <c r="G234" t="s">
        <v>75</v>
      </c>
      <c r="H234" t="s">
        <v>27</v>
      </c>
      <c r="I234" s="1">
        <v>1</v>
      </c>
      <c r="J234" s="1" t="str">
        <f t="shared" si="33"/>
        <v>0-5</v>
      </c>
      <c r="K234" s="1">
        <v>3.1</v>
      </c>
      <c r="L234" s="1">
        <v>50</v>
      </c>
      <c r="M234" s="1">
        <f t="shared" si="34"/>
        <v>50</v>
      </c>
      <c r="N234" s="1">
        <f t="shared" si="40"/>
        <v>50</v>
      </c>
      <c r="P234" s="4">
        <f>[2]Sheet1!K234</f>
        <v>0.71</v>
      </c>
    </row>
    <row r="235" spans="1:16" x14ac:dyDescent="0.35">
      <c r="A235" t="s">
        <v>285</v>
      </c>
      <c r="B235" t="str">
        <f>TRIM([1]Sheet1!AD235)</f>
        <v>Matthew Martin</v>
      </c>
      <c r="C235" t="str">
        <f>IF(UPPER(LEFT([1]Sheet1!W235,1))="F","FEMALE","MALE")</f>
        <v>MALE</v>
      </c>
      <c r="D235">
        <v>22</v>
      </c>
      <c r="E235" t="s">
        <v>99</v>
      </c>
      <c r="F235" t="s">
        <v>99</v>
      </c>
      <c r="G235" t="s">
        <v>38</v>
      </c>
      <c r="H235" t="s">
        <v>39</v>
      </c>
      <c r="I235" s="1">
        <v>2</v>
      </c>
      <c r="J235" s="1" t="str">
        <f t="shared" si="33"/>
        <v>0-5</v>
      </c>
      <c r="K235" s="1">
        <v>0</v>
      </c>
      <c r="M235" s="1">
        <f t="shared" si="34"/>
        <v>0</v>
      </c>
      <c r="N235" s="1">
        <f t="shared" si="40"/>
        <v>0</v>
      </c>
      <c r="O235" t="s">
        <v>1054</v>
      </c>
    </row>
    <row r="236" spans="1:16" x14ac:dyDescent="0.35">
      <c r="A236" t="s">
        <v>286</v>
      </c>
      <c r="B236" t="str">
        <f>TRIM([1]Sheet1!AD236)</f>
        <v>Julia Murphy</v>
      </c>
      <c r="C236" t="str">
        <f>IF(UPPER(LEFT([1]Sheet1!W236,1))="F","FEMALE","MALE")</f>
        <v>FEMALE</v>
      </c>
      <c r="D236">
        <v>23</v>
      </c>
      <c r="E236" t="s">
        <v>60</v>
      </c>
      <c r="F236" t="s">
        <v>60</v>
      </c>
      <c r="G236" t="s">
        <v>61</v>
      </c>
      <c r="H236" t="s">
        <v>16</v>
      </c>
      <c r="I236" s="1">
        <v>2</v>
      </c>
      <c r="J236" s="1" t="str">
        <f t="shared" si="33"/>
        <v>0-5</v>
      </c>
      <c r="K236" s="1">
        <v>3.2</v>
      </c>
      <c r="L236" s="1">
        <v>50</v>
      </c>
      <c r="M236" s="1">
        <f t="shared" si="34"/>
        <v>50</v>
      </c>
      <c r="N236" s="1">
        <f t="shared" si="40"/>
        <v>50</v>
      </c>
      <c r="O236" t="s">
        <v>1054</v>
      </c>
    </row>
    <row r="237" spans="1:16" x14ac:dyDescent="0.35">
      <c r="A237" t="s">
        <v>287</v>
      </c>
      <c r="B237" t="str">
        <f>TRIM([1]Sheet1!AD237)</f>
        <v>Anna Evans</v>
      </c>
      <c r="C237" t="str">
        <f>IF(UPPER(LEFT([1]Sheet1!W237,1))="F","FEMALE","MALE")</f>
        <v>FEMALE</v>
      </c>
      <c r="D237">
        <v>53</v>
      </c>
      <c r="E237" t="s">
        <v>60</v>
      </c>
      <c r="F237" t="s">
        <v>60</v>
      </c>
      <c r="G237" t="s">
        <v>61</v>
      </c>
      <c r="H237" t="s">
        <v>8</v>
      </c>
      <c r="I237" s="1">
        <v>34</v>
      </c>
      <c r="J237" s="1" t="str">
        <f t="shared" si="33"/>
        <v>31+</v>
      </c>
      <c r="L237" s="1">
        <v>30</v>
      </c>
      <c r="M237" s="1">
        <f t="shared" si="34"/>
        <v>30</v>
      </c>
      <c r="N237" s="1">
        <f t="shared" si="40"/>
        <v>30</v>
      </c>
      <c r="O237" t="s">
        <v>1054</v>
      </c>
    </row>
    <row r="238" spans="1:16" x14ac:dyDescent="0.35">
      <c r="A238" t="s">
        <v>288</v>
      </c>
      <c r="B238" t="str">
        <f>TRIM([1]Sheet1!AD238)</f>
        <v>Brenda Fleming</v>
      </c>
      <c r="C238" t="str">
        <f>IF(UPPER(LEFT([1]Sheet1!W238,1))="F","FEMALE","MALE")</f>
        <v>FEMALE</v>
      </c>
      <c r="D238">
        <v>56</v>
      </c>
      <c r="E238" t="s">
        <v>60</v>
      </c>
      <c r="F238" t="s">
        <v>60</v>
      </c>
      <c r="G238" t="s">
        <v>61</v>
      </c>
      <c r="H238" t="s">
        <v>16</v>
      </c>
      <c r="I238" s="1">
        <v>27</v>
      </c>
      <c r="J238" s="1" t="str">
        <f t="shared" si="33"/>
        <v>26-30</v>
      </c>
      <c r="K238" s="1">
        <v>4.7</v>
      </c>
      <c r="L238" s="1">
        <v>100</v>
      </c>
      <c r="M238" s="1">
        <f t="shared" si="34"/>
        <v>100</v>
      </c>
      <c r="N238" s="1">
        <f t="shared" si="40"/>
        <v>100</v>
      </c>
      <c r="O238" t="s">
        <v>1054</v>
      </c>
      <c r="P238" s="4">
        <f>[2]Sheet1!K238</f>
        <v>0.69</v>
      </c>
    </row>
    <row r="239" spans="1:16" x14ac:dyDescent="0.35">
      <c r="A239" t="s">
        <v>289</v>
      </c>
      <c r="B239" t="str">
        <f>TRIM([1]Sheet1!AD239)</f>
        <v>Daniel Harrington</v>
      </c>
      <c r="C239" t="str">
        <f>IF(UPPER(LEFT([1]Sheet1!W239,1))="F","FEMALE","MALE")</f>
        <v>MALE</v>
      </c>
      <c r="D239">
        <v>27</v>
      </c>
      <c r="E239" t="s">
        <v>70</v>
      </c>
      <c r="F239" t="s">
        <v>70</v>
      </c>
      <c r="G239" t="s">
        <v>11</v>
      </c>
      <c r="H239" t="s">
        <v>23</v>
      </c>
      <c r="I239" s="1">
        <v>4</v>
      </c>
      <c r="J239" s="1" t="str">
        <f t="shared" si="33"/>
        <v>0-5</v>
      </c>
      <c r="K239" s="1">
        <v>5</v>
      </c>
      <c r="L239" s="1">
        <v>75</v>
      </c>
      <c r="M239" s="1">
        <f t="shared" si="34"/>
        <v>75</v>
      </c>
      <c r="N239" s="1">
        <f t="shared" si="40"/>
        <v>75</v>
      </c>
      <c r="O239" t="s">
        <v>1053</v>
      </c>
      <c r="P239" s="4">
        <f>[2]Sheet1!K239</f>
        <v>0.88</v>
      </c>
    </row>
    <row r="240" spans="1:16" x14ac:dyDescent="0.35">
      <c r="A240" t="s">
        <v>290</v>
      </c>
      <c r="B240" t="str">
        <f>TRIM([1]Sheet1!AD240)</f>
        <v>Daniel Barnett</v>
      </c>
      <c r="C240" t="str">
        <f>IF(UPPER(LEFT([1]Sheet1!W240,1))="F","FEMALE","MALE")</f>
        <v>MALE</v>
      </c>
      <c r="D240">
        <v>34</v>
      </c>
      <c r="E240" t="s">
        <v>6</v>
      </c>
      <c r="F240" t="s">
        <v>6</v>
      </c>
      <c r="G240" t="s">
        <v>7</v>
      </c>
      <c r="H240" t="s">
        <v>12</v>
      </c>
      <c r="I240" s="1">
        <v>11</v>
      </c>
      <c r="J240" s="1" t="str">
        <f t="shared" si="33"/>
        <v>11-16</v>
      </c>
      <c r="L240" s="1" t="s">
        <v>1064</v>
      </c>
      <c r="M240" s="1" t="str">
        <f t="shared" si="34"/>
        <v>USD 40</v>
      </c>
      <c r="N240" s="1">
        <v>40</v>
      </c>
      <c r="O240" t="s">
        <v>1053</v>
      </c>
      <c r="P240" s="4">
        <f>[2]Sheet1!K240</f>
        <v>0.67</v>
      </c>
    </row>
    <row r="241" spans="1:16" x14ac:dyDescent="0.35">
      <c r="A241" t="s">
        <v>291</v>
      </c>
      <c r="B241" t="str">
        <f>TRIM([1]Sheet1!AD241)</f>
        <v>Mark Cummings</v>
      </c>
      <c r="C241" t="str">
        <f>IF(UPPER(LEFT([1]Sheet1!W241,1))="F","FEMALE","MALE")</f>
        <v>MALE</v>
      </c>
      <c r="D241">
        <v>29</v>
      </c>
      <c r="E241" t="s">
        <v>30</v>
      </c>
      <c r="F241" t="s">
        <v>30</v>
      </c>
      <c r="G241" t="s">
        <v>11</v>
      </c>
      <c r="H241" t="s">
        <v>18</v>
      </c>
      <c r="I241" s="1">
        <v>4</v>
      </c>
      <c r="J241" s="1" t="str">
        <f t="shared" si="33"/>
        <v>0-5</v>
      </c>
      <c r="K241" s="1">
        <v>4</v>
      </c>
      <c r="L241" s="1" t="s">
        <v>1065</v>
      </c>
      <c r="M241" s="1" t="str">
        <f t="shared" si="34"/>
        <v>USD 50</v>
      </c>
      <c r="N241" s="1">
        <v>50</v>
      </c>
      <c r="O241" t="s">
        <v>1053</v>
      </c>
    </row>
    <row r="242" spans="1:16" x14ac:dyDescent="0.35">
      <c r="A242" t="s">
        <v>292</v>
      </c>
      <c r="B242" t="str">
        <f>TRIM([1]Sheet1!AD242)</f>
        <v>Christopher Guerra</v>
      </c>
      <c r="C242" t="str">
        <f>IF(UPPER(LEFT([1]Sheet1!W242,1))="F","FEMALE","MALE")</f>
        <v>MALE</v>
      </c>
      <c r="D242">
        <v>34</v>
      </c>
      <c r="E242" t="s">
        <v>50</v>
      </c>
      <c r="F242" t="s">
        <v>50</v>
      </c>
      <c r="G242" t="s">
        <v>51</v>
      </c>
      <c r="H242" t="s">
        <v>23</v>
      </c>
      <c r="I242" s="1">
        <v>11</v>
      </c>
      <c r="J242" s="1" t="str">
        <f t="shared" si="33"/>
        <v>11-16</v>
      </c>
      <c r="K242" s="1">
        <v>1.2</v>
      </c>
      <c r="M242" s="1">
        <f t="shared" si="34"/>
        <v>0</v>
      </c>
      <c r="N242" s="1">
        <f t="shared" ref="N242:N251" si="41">M242</f>
        <v>0</v>
      </c>
      <c r="O242" t="s">
        <v>1054</v>
      </c>
    </row>
    <row r="243" spans="1:16" x14ac:dyDescent="0.35">
      <c r="A243" t="s">
        <v>293</v>
      </c>
      <c r="B243" t="str">
        <f>TRIM([1]Sheet1!AD243)</f>
        <v>Sarah Ho</v>
      </c>
      <c r="C243" t="str">
        <f>IF(UPPER(LEFT([1]Sheet1!W243,1))="F","FEMALE","MALE")</f>
        <v>FEMALE</v>
      </c>
      <c r="D243">
        <v>32</v>
      </c>
      <c r="E243" t="s">
        <v>99</v>
      </c>
      <c r="F243" t="s">
        <v>99</v>
      </c>
      <c r="G243" t="s">
        <v>38</v>
      </c>
      <c r="H243" t="s">
        <v>23</v>
      </c>
      <c r="I243" s="1">
        <v>1</v>
      </c>
      <c r="J243" s="1" t="str">
        <f t="shared" si="33"/>
        <v>0-5</v>
      </c>
      <c r="K243" s="1">
        <v>4.7</v>
      </c>
      <c r="L243" s="1">
        <v>100</v>
      </c>
      <c r="M243" s="1">
        <f t="shared" si="34"/>
        <v>100</v>
      </c>
      <c r="N243" s="1">
        <f t="shared" si="41"/>
        <v>100</v>
      </c>
      <c r="O243" t="s">
        <v>1053</v>
      </c>
      <c r="P243" s="4">
        <f>[2]Sheet1!K243</f>
        <v>0.67</v>
      </c>
    </row>
    <row r="244" spans="1:16" x14ac:dyDescent="0.35">
      <c r="A244" t="s">
        <v>294</v>
      </c>
      <c r="B244" t="str">
        <f>TRIM([1]Sheet1!AD244)</f>
        <v>Veronica Thomas</v>
      </c>
      <c r="C244" t="str">
        <f>IF(UPPER(LEFT([1]Sheet1!W244,1))="F","FEMALE","MALE")</f>
        <v>FEMALE</v>
      </c>
      <c r="D244">
        <v>21</v>
      </c>
      <c r="E244" t="s">
        <v>85</v>
      </c>
      <c r="F244" t="s">
        <v>85</v>
      </c>
      <c r="G244" t="s">
        <v>86</v>
      </c>
      <c r="H244" t="s">
        <v>62</v>
      </c>
      <c r="I244" s="1">
        <v>2</v>
      </c>
      <c r="J244" s="1" t="str">
        <f t="shared" si="33"/>
        <v>0-5</v>
      </c>
      <c r="K244" s="1">
        <v>2.4</v>
      </c>
      <c r="L244" s="1">
        <v>20</v>
      </c>
      <c r="M244" s="1">
        <f t="shared" si="34"/>
        <v>20</v>
      </c>
      <c r="N244" s="1">
        <f t="shared" si="41"/>
        <v>20</v>
      </c>
      <c r="P244" s="4">
        <f>[2]Sheet1!K244</f>
        <v>0.86</v>
      </c>
    </row>
    <row r="245" spans="1:16" x14ac:dyDescent="0.35">
      <c r="A245" t="s">
        <v>295</v>
      </c>
      <c r="B245" t="str">
        <f>TRIM([1]Sheet1!AD245)</f>
        <v>Mitchell Watson</v>
      </c>
      <c r="C245" t="str">
        <f>IF(UPPER(LEFT([1]Sheet1!W245,1))="F","FEMALE","MALE")</f>
        <v>MALE</v>
      </c>
      <c r="D245">
        <v>20</v>
      </c>
      <c r="E245" t="s">
        <v>99</v>
      </c>
      <c r="F245" t="s">
        <v>99</v>
      </c>
      <c r="G245" t="s">
        <v>38</v>
      </c>
      <c r="H245" t="s">
        <v>16</v>
      </c>
      <c r="I245" s="1">
        <v>2</v>
      </c>
      <c r="J245" s="1" t="str">
        <f t="shared" si="33"/>
        <v>0-5</v>
      </c>
      <c r="K245" s="1">
        <v>1.1000000000000001</v>
      </c>
      <c r="M245" s="1">
        <f t="shared" si="34"/>
        <v>0</v>
      </c>
      <c r="N245" s="1">
        <f t="shared" si="41"/>
        <v>0</v>
      </c>
      <c r="O245" t="s">
        <v>1053</v>
      </c>
      <c r="P245" s="4">
        <f>[2]Sheet1!K245</f>
        <v>0.69</v>
      </c>
    </row>
    <row r="246" spans="1:16" x14ac:dyDescent="0.35">
      <c r="A246" t="s">
        <v>296</v>
      </c>
      <c r="B246" t="str">
        <f>TRIM([1]Sheet1!AD246)</f>
        <v>Monica Murphy</v>
      </c>
      <c r="C246" t="str">
        <f>IF(UPPER(LEFT([1]Sheet1!W246,1))="F","FEMALE","MALE")</f>
        <v>FEMALE</v>
      </c>
      <c r="D246">
        <v>35</v>
      </c>
      <c r="E246" t="s">
        <v>30</v>
      </c>
      <c r="F246" t="s">
        <v>30</v>
      </c>
      <c r="G246" t="s">
        <v>11</v>
      </c>
      <c r="H246" t="s">
        <v>12</v>
      </c>
      <c r="I246" s="1">
        <v>10</v>
      </c>
      <c r="J246" s="1" t="str">
        <f t="shared" si="33"/>
        <v>5-10</v>
      </c>
      <c r="K246" s="1">
        <v>1.4</v>
      </c>
      <c r="L246" s="1">
        <v>50</v>
      </c>
      <c r="M246" s="1">
        <f t="shared" si="34"/>
        <v>50</v>
      </c>
      <c r="N246" s="1">
        <f t="shared" si="41"/>
        <v>50</v>
      </c>
      <c r="O246" t="s">
        <v>1054</v>
      </c>
      <c r="P246" s="4">
        <f>[2]Sheet1!K246</f>
        <v>0.85</v>
      </c>
    </row>
    <row r="247" spans="1:16" x14ac:dyDescent="0.35">
      <c r="A247" t="s">
        <v>297</v>
      </c>
      <c r="B247" t="str">
        <f>TRIM([1]Sheet1!AD247)</f>
        <v>Kristen Williams</v>
      </c>
      <c r="C247" t="str">
        <f>IF(UPPER(LEFT([1]Sheet1!W247,1))="F","FEMALE","MALE")</f>
        <v>FEMALE</v>
      </c>
      <c r="D247">
        <v>47</v>
      </c>
      <c r="E247" t="s">
        <v>30</v>
      </c>
      <c r="F247" t="s">
        <v>30</v>
      </c>
      <c r="G247" t="s">
        <v>11</v>
      </c>
      <c r="H247" t="s">
        <v>39</v>
      </c>
      <c r="I247" s="1">
        <v>18</v>
      </c>
      <c r="J247" s="1" t="str">
        <f t="shared" si="33"/>
        <v xml:space="preserve"> 16-20</v>
      </c>
      <c r="K247" s="1">
        <v>3.4</v>
      </c>
      <c r="L247" s="1">
        <v>40</v>
      </c>
      <c r="M247" s="1">
        <f t="shared" si="34"/>
        <v>40</v>
      </c>
      <c r="N247" s="1">
        <f t="shared" si="41"/>
        <v>40</v>
      </c>
      <c r="O247" t="s">
        <v>1053</v>
      </c>
      <c r="P247" s="3">
        <f>[2]Sheet1!K247/100</f>
        <v>0.6</v>
      </c>
    </row>
    <row r="248" spans="1:16" x14ac:dyDescent="0.35">
      <c r="A248" t="s">
        <v>298</v>
      </c>
      <c r="B248" t="str">
        <f>TRIM([1]Sheet1!AD248)</f>
        <v>Nicole Wright</v>
      </c>
      <c r="C248" t="str">
        <f>IF(UPPER(LEFT([1]Sheet1!W248,1))="F","FEMALE","MALE")</f>
        <v>FEMALE</v>
      </c>
      <c r="D248">
        <v>41</v>
      </c>
      <c r="E248" t="s">
        <v>32</v>
      </c>
      <c r="F248" t="s">
        <v>32</v>
      </c>
      <c r="G248" t="s">
        <v>33</v>
      </c>
      <c r="H248" t="s">
        <v>8</v>
      </c>
      <c r="I248" s="1">
        <v>4</v>
      </c>
      <c r="J248" s="1" t="str">
        <f t="shared" si="33"/>
        <v>0-5</v>
      </c>
      <c r="K248" s="1">
        <v>2.7</v>
      </c>
      <c r="L248" s="1">
        <v>40</v>
      </c>
      <c r="M248" s="1">
        <f t="shared" si="34"/>
        <v>40</v>
      </c>
      <c r="N248" s="1">
        <f t="shared" si="41"/>
        <v>40</v>
      </c>
      <c r="O248" t="s">
        <v>1054</v>
      </c>
      <c r="P248" s="3">
        <f>[2]Sheet1!K248/100</f>
        <v>0.7</v>
      </c>
    </row>
    <row r="249" spans="1:16" x14ac:dyDescent="0.35">
      <c r="A249" t="s">
        <v>299</v>
      </c>
      <c r="B249" t="str">
        <f>TRIM([1]Sheet1!AD249)</f>
        <v>Andrew Ruiz</v>
      </c>
      <c r="C249" t="str">
        <f>IF(UPPER(LEFT([1]Sheet1!W249,1))="F","FEMALE","MALE")</f>
        <v>MALE</v>
      </c>
      <c r="D249">
        <v>58</v>
      </c>
      <c r="E249" t="s">
        <v>37</v>
      </c>
      <c r="F249" t="s">
        <v>37</v>
      </c>
      <c r="G249" t="s">
        <v>38</v>
      </c>
      <c r="H249" t="s">
        <v>18</v>
      </c>
      <c r="I249" s="1">
        <v>23</v>
      </c>
      <c r="J249" s="1" t="str">
        <f t="shared" si="33"/>
        <v>21- 25</v>
      </c>
      <c r="K249" s="1">
        <v>4.9000000000000004</v>
      </c>
      <c r="M249" s="1">
        <f t="shared" si="34"/>
        <v>0</v>
      </c>
      <c r="N249" s="1">
        <f t="shared" si="41"/>
        <v>0</v>
      </c>
      <c r="O249" t="s">
        <v>1053</v>
      </c>
    </row>
    <row r="250" spans="1:16" x14ac:dyDescent="0.35">
      <c r="A250" t="s">
        <v>300</v>
      </c>
      <c r="B250" t="str">
        <f>TRIM([1]Sheet1!AD250)</f>
        <v>Zachary Jackson</v>
      </c>
      <c r="C250" t="str">
        <f>IF(UPPER(LEFT([1]Sheet1!W250,1))="F","FEMALE","MALE")</f>
        <v>MALE</v>
      </c>
      <c r="D250">
        <v>34</v>
      </c>
      <c r="E250" t="s">
        <v>96</v>
      </c>
      <c r="F250" t="s">
        <v>96</v>
      </c>
      <c r="G250" t="s">
        <v>97</v>
      </c>
      <c r="H250" t="s">
        <v>27</v>
      </c>
      <c r="I250" s="1">
        <v>6</v>
      </c>
      <c r="J250" s="1" t="str">
        <f t="shared" si="33"/>
        <v>5-10</v>
      </c>
      <c r="K250" s="1">
        <v>1.9</v>
      </c>
      <c r="L250" s="1">
        <v>75</v>
      </c>
      <c r="M250" s="1">
        <f t="shared" si="34"/>
        <v>75</v>
      </c>
      <c r="N250" s="1">
        <f t="shared" si="41"/>
        <v>75</v>
      </c>
      <c r="O250" t="s">
        <v>1054</v>
      </c>
      <c r="P250" s="4">
        <f>[2]Sheet1!K250</f>
        <v>0.81</v>
      </c>
    </row>
    <row r="251" spans="1:16" x14ac:dyDescent="0.35">
      <c r="A251" t="s">
        <v>301</v>
      </c>
      <c r="B251" t="str">
        <f>TRIM([1]Sheet1!AD251)</f>
        <v>Stephanie Carter</v>
      </c>
      <c r="C251" t="str">
        <f>IF(UPPER(LEFT([1]Sheet1!W251,1))="F","FEMALE","MALE")</f>
        <v>FEMALE</v>
      </c>
      <c r="D251">
        <v>50</v>
      </c>
      <c r="E251" t="s">
        <v>50</v>
      </c>
      <c r="F251" t="s">
        <v>50</v>
      </c>
      <c r="G251" t="s">
        <v>51</v>
      </c>
      <c r="H251" t="s">
        <v>12</v>
      </c>
      <c r="I251" s="1">
        <v>5</v>
      </c>
      <c r="J251" s="1" t="str">
        <f t="shared" si="33"/>
        <v>0-5</v>
      </c>
      <c r="L251" s="1">
        <v>100</v>
      </c>
      <c r="M251" s="1">
        <f t="shared" si="34"/>
        <v>100</v>
      </c>
      <c r="N251" s="1">
        <f t="shared" si="41"/>
        <v>100</v>
      </c>
      <c r="O251" t="s">
        <v>1054</v>
      </c>
    </row>
    <row r="252" spans="1:16" x14ac:dyDescent="0.35">
      <c r="A252" t="s">
        <v>302</v>
      </c>
      <c r="B252" t="str">
        <f>TRIM([1]Sheet1!AD252)</f>
        <v>Amy Olson</v>
      </c>
      <c r="C252" t="str">
        <f>IF(UPPER(LEFT([1]Sheet1!W252,1))="F","FEMALE","MALE")</f>
        <v>FEMALE</v>
      </c>
      <c r="D252">
        <v>42</v>
      </c>
      <c r="E252" t="s">
        <v>99</v>
      </c>
      <c r="F252" t="s">
        <v>99</v>
      </c>
      <c r="G252" t="s">
        <v>38</v>
      </c>
      <c r="H252" t="s">
        <v>48</v>
      </c>
      <c r="I252" s="1">
        <v>19</v>
      </c>
      <c r="J252" s="1" t="str">
        <f t="shared" si="33"/>
        <v xml:space="preserve"> 16-20</v>
      </c>
      <c r="K252" s="1">
        <v>4.5999999999999996</v>
      </c>
      <c r="L252" s="1" t="s">
        <v>1063</v>
      </c>
      <c r="M252" s="1" t="str">
        <f t="shared" si="34"/>
        <v>USD 75</v>
      </c>
      <c r="N252" s="1">
        <v>75</v>
      </c>
      <c r="O252" t="s">
        <v>1053</v>
      </c>
      <c r="P252" s="4">
        <f>[2]Sheet1!K252</f>
        <v>0.78</v>
      </c>
    </row>
    <row r="253" spans="1:16" x14ac:dyDescent="0.35">
      <c r="A253" t="s">
        <v>303</v>
      </c>
      <c r="B253" t="str">
        <f>TRIM([1]Sheet1!AD253)</f>
        <v>Fred Stark</v>
      </c>
      <c r="C253" t="str">
        <f>IF(UPPER(LEFT([1]Sheet1!W253,1))="F","FEMALE","MALE")</f>
        <v>MALE</v>
      </c>
      <c r="D253">
        <v>43</v>
      </c>
      <c r="E253" t="s">
        <v>14</v>
      </c>
      <c r="F253" t="s">
        <v>14</v>
      </c>
      <c r="G253" t="s">
        <v>15</v>
      </c>
      <c r="H253" t="s">
        <v>39</v>
      </c>
      <c r="I253" s="1">
        <v>6</v>
      </c>
      <c r="J253" s="1" t="str">
        <f t="shared" si="33"/>
        <v>5-10</v>
      </c>
      <c r="K253" s="1">
        <v>0</v>
      </c>
      <c r="L253" s="1">
        <v>50</v>
      </c>
      <c r="M253" s="1">
        <f t="shared" si="34"/>
        <v>50</v>
      </c>
      <c r="N253" s="1">
        <f t="shared" ref="N253:N259" si="42">M253</f>
        <v>50</v>
      </c>
      <c r="O253" t="s">
        <v>1053</v>
      </c>
      <c r="P253" s="3">
        <f>[2]Sheet1!K253/100</f>
        <v>0.81</v>
      </c>
    </row>
    <row r="254" spans="1:16" x14ac:dyDescent="0.35">
      <c r="A254" t="s">
        <v>304</v>
      </c>
      <c r="B254" t="str">
        <f>TRIM([1]Sheet1!AD254)</f>
        <v>Jacob Gill</v>
      </c>
      <c r="C254" t="str">
        <f>IF(UPPER(LEFT([1]Sheet1!W254,1))="F","FEMALE","MALE")</f>
        <v>MALE</v>
      </c>
      <c r="D254">
        <v>34</v>
      </c>
      <c r="E254" t="s">
        <v>14</v>
      </c>
      <c r="F254" t="s">
        <v>14</v>
      </c>
      <c r="G254" t="s">
        <v>15</v>
      </c>
      <c r="H254" t="s">
        <v>27</v>
      </c>
      <c r="I254" s="1">
        <v>8</v>
      </c>
      <c r="J254" s="1" t="str">
        <f t="shared" si="33"/>
        <v>5-10</v>
      </c>
      <c r="K254" s="1">
        <v>1.8</v>
      </c>
      <c r="L254" s="1">
        <v>75</v>
      </c>
      <c r="M254" s="1">
        <f t="shared" si="34"/>
        <v>75</v>
      </c>
      <c r="N254" s="1">
        <f t="shared" si="42"/>
        <v>75</v>
      </c>
      <c r="O254" t="s">
        <v>1054</v>
      </c>
      <c r="P254" s="4">
        <f>[2]Sheet1!K254</f>
        <v>0.71</v>
      </c>
    </row>
    <row r="255" spans="1:16" x14ac:dyDescent="0.35">
      <c r="A255" t="s">
        <v>305</v>
      </c>
      <c r="B255" t="str">
        <f>TRIM([1]Sheet1!AD255)</f>
        <v>Anthony Nichols</v>
      </c>
      <c r="C255" t="str">
        <f>IF(UPPER(LEFT([1]Sheet1!W255,1))="F","FEMALE","MALE")</f>
        <v>MALE</v>
      </c>
      <c r="D255">
        <v>24</v>
      </c>
      <c r="E255" t="s">
        <v>105</v>
      </c>
      <c r="F255" t="s">
        <v>105</v>
      </c>
      <c r="G255" t="s">
        <v>38</v>
      </c>
      <c r="H255" t="s">
        <v>12</v>
      </c>
      <c r="I255" s="1">
        <v>3</v>
      </c>
      <c r="J255" s="1" t="str">
        <f t="shared" si="33"/>
        <v>0-5</v>
      </c>
      <c r="K255" s="1">
        <v>2</v>
      </c>
      <c r="L255" s="1">
        <v>75</v>
      </c>
      <c r="M255" s="1">
        <f t="shared" si="34"/>
        <v>75</v>
      </c>
      <c r="N255" s="1">
        <f t="shared" si="42"/>
        <v>75</v>
      </c>
      <c r="O255" t="s">
        <v>1053</v>
      </c>
    </row>
    <row r="256" spans="1:16" x14ac:dyDescent="0.35">
      <c r="A256" t="s">
        <v>306</v>
      </c>
      <c r="B256" t="str">
        <f>TRIM([1]Sheet1!AD256)</f>
        <v>William Knapp</v>
      </c>
      <c r="C256" t="str">
        <f>IF(UPPER(LEFT([1]Sheet1!W256,1))="F","FEMALE","MALE")</f>
        <v>MALE</v>
      </c>
      <c r="D256">
        <v>48</v>
      </c>
      <c r="E256" t="s">
        <v>85</v>
      </c>
      <c r="F256" t="s">
        <v>85</v>
      </c>
      <c r="G256" t="s">
        <v>86</v>
      </c>
      <c r="H256" t="s">
        <v>39</v>
      </c>
      <c r="I256" s="1">
        <v>8</v>
      </c>
      <c r="J256" s="1" t="str">
        <f t="shared" si="33"/>
        <v>5-10</v>
      </c>
      <c r="K256" s="1">
        <v>5</v>
      </c>
      <c r="L256" s="1">
        <v>30</v>
      </c>
      <c r="M256" s="1">
        <f t="shared" si="34"/>
        <v>30</v>
      </c>
      <c r="N256" s="1">
        <f t="shared" si="42"/>
        <v>30</v>
      </c>
      <c r="O256" t="s">
        <v>1054</v>
      </c>
      <c r="P256" s="4">
        <f>[2]Sheet1!K256</f>
        <v>0.99</v>
      </c>
    </row>
    <row r="257" spans="1:16" x14ac:dyDescent="0.35">
      <c r="A257" t="s">
        <v>307</v>
      </c>
      <c r="B257" t="str">
        <f>TRIM([1]Sheet1!AD257)</f>
        <v>Elizabeth Walker</v>
      </c>
      <c r="C257" t="str">
        <f>IF(UPPER(LEFT([1]Sheet1!W257,1))="F","FEMALE","MALE")</f>
        <v>FEMALE</v>
      </c>
      <c r="D257">
        <v>39</v>
      </c>
      <c r="E257" t="s">
        <v>60</v>
      </c>
      <c r="F257" t="s">
        <v>60</v>
      </c>
      <c r="G257" t="s">
        <v>61</v>
      </c>
      <c r="H257" t="s">
        <v>27</v>
      </c>
      <c r="I257" s="1">
        <v>12</v>
      </c>
      <c r="J257" s="1" t="str">
        <f t="shared" si="33"/>
        <v>11-16</v>
      </c>
      <c r="K257" s="1">
        <v>3.2</v>
      </c>
      <c r="L257" s="2">
        <v>20</v>
      </c>
      <c r="M257" s="1">
        <f t="shared" si="34"/>
        <v>20</v>
      </c>
      <c r="N257" s="1">
        <f t="shared" si="42"/>
        <v>20</v>
      </c>
      <c r="O257" t="s">
        <v>1054</v>
      </c>
      <c r="P257" s="4">
        <f>[2]Sheet1!K257</f>
        <v>0.66</v>
      </c>
    </row>
    <row r="258" spans="1:16" x14ac:dyDescent="0.35">
      <c r="A258" t="s">
        <v>308</v>
      </c>
      <c r="B258" t="str">
        <f>TRIM([1]Sheet1!AD258)</f>
        <v>Brenda Reeves</v>
      </c>
      <c r="C258" t="str">
        <f>IF(UPPER(LEFT([1]Sheet1!W258,1))="F","FEMALE","MALE")</f>
        <v>FEMALE</v>
      </c>
      <c r="D258">
        <v>57</v>
      </c>
      <c r="E258" t="s">
        <v>10</v>
      </c>
      <c r="F258" t="s">
        <v>10</v>
      </c>
      <c r="G258" t="s">
        <v>11</v>
      </c>
      <c r="H258" t="s">
        <v>8</v>
      </c>
      <c r="I258" s="1">
        <v>30</v>
      </c>
      <c r="J258" s="1" t="str">
        <f t="shared" ref="J258:J321" si="43">_xlfn.IFS(I258&lt;=5,"0-5",I258&lt;=10,"5-10",I258&lt;=16,"11-16",I258&lt;=20," 16-20",I258&lt;=25,"21- 25",I258&lt;=30,"26-30",I258&gt;30,"31+")</f>
        <v>26-30</v>
      </c>
      <c r="K258" s="1">
        <v>2.4</v>
      </c>
      <c r="L258" s="2">
        <v>30</v>
      </c>
      <c r="M258" s="1">
        <f t="shared" si="34"/>
        <v>30</v>
      </c>
      <c r="N258" s="1">
        <f t="shared" si="42"/>
        <v>30</v>
      </c>
      <c r="P258" s="4">
        <f>[2]Sheet1!K258</f>
        <v>0.8</v>
      </c>
    </row>
    <row r="259" spans="1:16" x14ac:dyDescent="0.35">
      <c r="A259" t="s">
        <v>309</v>
      </c>
      <c r="B259" t="str">
        <f>TRIM([1]Sheet1!AD259)</f>
        <v>Carrie Little</v>
      </c>
      <c r="C259" t="str">
        <f>IF(UPPER(LEFT([1]Sheet1!W259,1))="F","FEMALE","MALE")</f>
        <v>FEMALE</v>
      </c>
      <c r="D259">
        <v>44</v>
      </c>
      <c r="E259" t="s">
        <v>70</v>
      </c>
      <c r="F259" t="s">
        <v>70</v>
      </c>
      <c r="G259" t="s">
        <v>11</v>
      </c>
      <c r="H259" t="s">
        <v>18</v>
      </c>
      <c r="I259" s="1">
        <v>21</v>
      </c>
      <c r="J259" s="1" t="str">
        <f t="shared" si="43"/>
        <v>21- 25</v>
      </c>
      <c r="K259" s="1">
        <v>2.9</v>
      </c>
      <c r="L259" s="1">
        <v>100</v>
      </c>
      <c r="M259" s="1">
        <f t="shared" ref="M259:M322" si="44">L259</f>
        <v>100</v>
      </c>
      <c r="N259" s="1">
        <f t="shared" si="42"/>
        <v>100</v>
      </c>
      <c r="O259" t="s">
        <v>1053</v>
      </c>
      <c r="P259" s="4">
        <f>[2]Sheet1!K259</f>
        <v>0.83</v>
      </c>
    </row>
    <row r="260" spans="1:16" x14ac:dyDescent="0.35">
      <c r="A260" t="s">
        <v>310</v>
      </c>
      <c r="B260" t="str">
        <f>TRIM([1]Sheet1!AD260)</f>
        <v>Steven Jackson</v>
      </c>
      <c r="C260" t="str">
        <f>IF(UPPER(LEFT([1]Sheet1!W260,1))="F","FEMALE","MALE")</f>
        <v>MALE</v>
      </c>
      <c r="D260">
        <v>37</v>
      </c>
      <c r="E260" t="s">
        <v>57</v>
      </c>
      <c r="F260" t="s">
        <v>57</v>
      </c>
      <c r="G260" t="s">
        <v>58</v>
      </c>
      <c r="H260" t="s">
        <v>39</v>
      </c>
      <c r="I260" s="1">
        <v>17</v>
      </c>
      <c r="J260" s="1" t="str">
        <f t="shared" si="43"/>
        <v xml:space="preserve"> 16-20</v>
      </c>
      <c r="K260" s="1">
        <v>0</v>
      </c>
      <c r="L260" s="1" t="s">
        <v>1067</v>
      </c>
      <c r="M260" s="1" t="str">
        <f t="shared" si="44"/>
        <v>USD 20</v>
      </c>
      <c r="N260" s="1">
        <v>20</v>
      </c>
      <c r="O260" t="s">
        <v>1054</v>
      </c>
      <c r="P260" s="3">
        <f>[2]Sheet1!K260/100</f>
        <v>0.87</v>
      </c>
    </row>
    <row r="261" spans="1:16" x14ac:dyDescent="0.35">
      <c r="A261" t="s">
        <v>311</v>
      </c>
      <c r="B261" t="str">
        <f>TRIM([1]Sheet1!AD261)</f>
        <v>Mark Perry</v>
      </c>
      <c r="C261" t="str">
        <f>IF(UPPER(LEFT([1]Sheet1!W261,1))="F","FEMALE","MALE")</f>
        <v>MALE</v>
      </c>
      <c r="D261">
        <v>50</v>
      </c>
      <c r="E261" t="s">
        <v>32</v>
      </c>
      <c r="F261" t="s">
        <v>32</v>
      </c>
      <c r="G261" t="s">
        <v>33</v>
      </c>
      <c r="H261" t="s">
        <v>27</v>
      </c>
      <c r="I261" s="1">
        <v>9</v>
      </c>
      <c r="J261" s="1" t="str">
        <f t="shared" si="43"/>
        <v>5-10</v>
      </c>
      <c r="K261" s="1">
        <v>3</v>
      </c>
      <c r="L261" s="1">
        <v>30</v>
      </c>
      <c r="M261" s="1">
        <f t="shared" si="44"/>
        <v>30</v>
      </c>
      <c r="N261" s="1">
        <f t="shared" ref="N261:N272" si="45">M261</f>
        <v>30</v>
      </c>
      <c r="O261" t="s">
        <v>1053</v>
      </c>
      <c r="P261" s="3">
        <f>[2]Sheet1!K261/100</f>
        <v>0.76</v>
      </c>
    </row>
    <row r="262" spans="1:16" x14ac:dyDescent="0.35">
      <c r="A262" t="s">
        <v>312</v>
      </c>
      <c r="B262" t="str">
        <f>TRIM([1]Sheet1!AD262)</f>
        <v>Cameron Spencer</v>
      </c>
      <c r="C262" t="str">
        <f>IF(UPPER(LEFT([1]Sheet1!W262,1))="F","FEMALE","MALE")</f>
        <v>MALE</v>
      </c>
      <c r="D262">
        <v>50</v>
      </c>
      <c r="E262" t="s">
        <v>105</v>
      </c>
      <c r="F262" t="s">
        <v>105</v>
      </c>
      <c r="G262" t="s">
        <v>38</v>
      </c>
      <c r="H262" t="s">
        <v>39</v>
      </c>
      <c r="I262" s="1">
        <v>2</v>
      </c>
      <c r="J262" s="1" t="str">
        <f t="shared" si="43"/>
        <v>0-5</v>
      </c>
      <c r="K262" s="1">
        <v>1.6</v>
      </c>
      <c r="L262" s="1">
        <v>50</v>
      </c>
      <c r="M262" s="1">
        <f t="shared" si="44"/>
        <v>50</v>
      </c>
      <c r="N262" s="1">
        <f t="shared" si="45"/>
        <v>50</v>
      </c>
      <c r="O262" t="s">
        <v>1053</v>
      </c>
      <c r="P262" s="4">
        <f>[2]Sheet1!K262</f>
        <v>0.89</v>
      </c>
    </row>
    <row r="263" spans="1:16" x14ac:dyDescent="0.35">
      <c r="A263" t="s">
        <v>313</v>
      </c>
      <c r="B263" t="str">
        <f>TRIM([1]Sheet1!AD263)</f>
        <v>Jennifer Holmes</v>
      </c>
      <c r="C263" t="str">
        <f>IF(UPPER(LEFT([1]Sheet1!W263,1))="F","FEMALE","MALE")</f>
        <v>FEMALE</v>
      </c>
      <c r="D263">
        <v>28</v>
      </c>
      <c r="E263" t="s">
        <v>74</v>
      </c>
      <c r="F263" t="s">
        <v>74</v>
      </c>
      <c r="G263" t="s">
        <v>75</v>
      </c>
      <c r="H263" t="s">
        <v>16</v>
      </c>
      <c r="I263" s="1">
        <v>1</v>
      </c>
      <c r="J263" s="1" t="str">
        <f t="shared" si="43"/>
        <v>0-5</v>
      </c>
      <c r="K263" s="1">
        <v>3.6</v>
      </c>
      <c r="L263" s="1">
        <v>20</v>
      </c>
      <c r="M263" s="1">
        <f t="shared" si="44"/>
        <v>20</v>
      </c>
      <c r="N263" s="1">
        <f t="shared" si="45"/>
        <v>20</v>
      </c>
      <c r="O263" t="s">
        <v>1054</v>
      </c>
      <c r="P263" s="4">
        <f>[2]Sheet1!K263</f>
        <v>0.94</v>
      </c>
    </row>
    <row r="264" spans="1:16" x14ac:dyDescent="0.35">
      <c r="A264" t="s">
        <v>314</v>
      </c>
      <c r="B264" t="str">
        <f>TRIM([1]Sheet1!AD264)</f>
        <v>Jacob Joseph</v>
      </c>
      <c r="C264" t="str">
        <f>IF(UPPER(LEFT([1]Sheet1!W264,1))="F","FEMALE","MALE")</f>
        <v>MALE</v>
      </c>
      <c r="D264">
        <v>48</v>
      </c>
      <c r="E264" t="s">
        <v>6</v>
      </c>
      <c r="F264" t="s">
        <v>6</v>
      </c>
      <c r="G264" t="s">
        <v>7</v>
      </c>
      <c r="H264" t="s">
        <v>18</v>
      </c>
      <c r="I264" s="1">
        <v>23</v>
      </c>
      <c r="J264" s="1" t="str">
        <f t="shared" si="43"/>
        <v>21- 25</v>
      </c>
      <c r="K264" s="1">
        <v>2.1</v>
      </c>
      <c r="M264" s="1">
        <f t="shared" si="44"/>
        <v>0</v>
      </c>
      <c r="N264" s="1">
        <f t="shared" si="45"/>
        <v>0</v>
      </c>
      <c r="O264" t="s">
        <v>1053</v>
      </c>
      <c r="P264" s="4">
        <f>[2]Sheet1!K264</f>
        <v>0.68</v>
      </c>
    </row>
    <row r="265" spans="1:16" x14ac:dyDescent="0.35">
      <c r="A265" t="s">
        <v>315</v>
      </c>
      <c r="B265" t="str">
        <f>TRIM([1]Sheet1!AD265)</f>
        <v>Jeffery Tucker</v>
      </c>
      <c r="C265" t="str">
        <f>IF(UPPER(LEFT([1]Sheet1!W265,1))="F","FEMALE","MALE")</f>
        <v>MALE</v>
      </c>
      <c r="D265">
        <v>42</v>
      </c>
      <c r="E265" t="s">
        <v>14</v>
      </c>
      <c r="F265" t="s">
        <v>14</v>
      </c>
      <c r="G265" t="s">
        <v>15</v>
      </c>
      <c r="H265" t="s">
        <v>48</v>
      </c>
      <c r="I265" s="1">
        <v>8</v>
      </c>
      <c r="J265" s="1" t="str">
        <f t="shared" si="43"/>
        <v>5-10</v>
      </c>
      <c r="K265" s="1">
        <v>3.6</v>
      </c>
      <c r="L265" s="1">
        <v>30</v>
      </c>
      <c r="M265" s="1">
        <f t="shared" si="44"/>
        <v>30</v>
      </c>
      <c r="N265" s="1">
        <f t="shared" si="45"/>
        <v>30</v>
      </c>
      <c r="O265" t="s">
        <v>1054</v>
      </c>
      <c r="P265" s="4">
        <f>[2]Sheet1!K265</f>
        <v>0.96</v>
      </c>
    </row>
    <row r="266" spans="1:16" x14ac:dyDescent="0.35">
      <c r="A266" t="s">
        <v>316</v>
      </c>
      <c r="B266" t="str">
        <f>TRIM([1]Sheet1!AD266)</f>
        <v>Jacqueline Drake</v>
      </c>
      <c r="C266" t="str">
        <f>IF(UPPER(LEFT([1]Sheet1!W266,1))="F","FEMALE","MALE")</f>
        <v>FEMALE</v>
      </c>
      <c r="D266">
        <v>37</v>
      </c>
      <c r="E266" t="s">
        <v>70</v>
      </c>
      <c r="F266" t="s">
        <v>70</v>
      </c>
      <c r="G266" t="s">
        <v>11</v>
      </c>
      <c r="H266" t="s">
        <v>27</v>
      </c>
      <c r="I266" s="1">
        <v>6</v>
      </c>
      <c r="J266" s="1" t="str">
        <f t="shared" si="43"/>
        <v>5-10</v>
      </c>
      <c r="K266" s="1">
        <v>2.7</v>
      </c>
      <c r="L266" s="2">
        <v>20</v>
      </c>
      <c r="M266" s="1">
        <f t="shared" si="44"/>
        <v>20</v>
      </c>
      <c r="N266" s="1">
        <f t="shared" si="45"/>
        <v>20</v>
      </c>
      <c r="O266" t="s">
        <v>1054</v>
      </c>
      <c r="P266" s="4">
        <f>[2]Sheet1!K266</f>
        <v>0.91</v>
      </c>
    </row>
    <row r="267" spans="1:16" x14ac:dyDescent="0.35">
      <c r="A267" t="s">
        <v>317</v>
      </c>
      <c r="B267" t="str">
        <f>TRIM([1]Sheet1!AD267)</f>
        <v>Brian Bautista</v>
      </c>
      <c r="C267" t="str">
        <f>IF(UPPER(LEFT([1]Sheet1!W267,1))="F","FEMALE","MALE")</f>
        <v>MALE</v>
      </c>
      <c r="D267">
        <v>21</v>
      </c>
      <c r="E267" t="s">
        <v>50</v>
      </c>
      <c r="F267" t="s">
        <v>50</v>
      </c>
      <c r="G267" t="s">
        <v>51</v>
      </c>
      <c r="H267" t="s">
        <v>8</v>
      </c>
      <c r="I267" s="1">
        <v>1</v>
      </c>
      <c r="J267" s="1" t="str">
        <f t="shared" si="43"/>
        <v>0-5</v>
      </c>
      <c r="K267" s="1">
        <v>2.1</v>
      </c>
      <c r="L267" s="1">
        <v>100</v>
      </c>
      <c r="M267" s="1">
        <f t="shared" si="44"/>
        <v>100</v>
      </c>
      <c r="N267" s="1">
        <f t="shared" si="45"/>
        <v>100</v>
      </c>
      <c r="O267" t="s">
        <v>1054</v>
      </c>
      <c r="P267" s="4">
        <f>[2]Sheet1!K267</f>
        <v>0.92</v>
      </c>
    </row>
    <row r="268" spans="1:16" x14ac:dyDescent="0.35">
      <c r="A268" t="s">
        <v>318</v>
      </c>
      <c r="B268" t="str">
        <f>TRIM([1]Sheet1!AD268)</f>
        <v>Dakota Wells</v>
      </c>
      <c r="C268" t="str">
        <f>IF(UPPER(LEFT([1]Sheet1!W268,1))="F","FEMALE","MALE")</f>
        <v>MALE</v>
      </c>
      <c r="D268">
        <v>50</v>
      </c>
      <c r="E268" t="s">
        <v>60</v>
      </c>
      <c r="F268" t="s">
        <v>60</v>
      </c>
      <c r="G268" t="s">
        <v>61</v>
      </c>
      <c r="H268" t="s">
        <v>18</v>
      </c>
      <c r="I268" s="1">
        <v>19</v>
      </c>
      <c r="J268" s="1" t="str">
        <f t="shared" si="43"/>
        <v xml:space="preserve"> 16-20</v>
      </c>
      <c r="K268" s="1">
        <v>4.9000000000000004</v>
      </c>
      <c r="L268" s="2">
        <v>40</v>
      </c>
      <c r="M268" s="1">
        <f t="shared" si="44"/>
        <v>40</v>
      </c>
      <c r="N268" s="1">
        <f t="shared" si="45"/>
        <v>40</v>
      </c>
      <c r="P268" s="4">
        <f>[2]Sheet1!K268</f>
        <v>0.82</v>
      </c>
    </row>
    <row r="269" spans="1:16" x14ac:dyDescent="0.35">
      <c r="A269" t="s">
        <v>319</v>
      </c>
      <c r="B269" t="str">
        <f>TRIM([1]Sheet1!AD269)</f>
        <v>Julie White</v>
      </c>
      <c r="C269" t="str">
        <f>IF(UPPER(LEFT([1]Sheet1!W269,1))="F","FEMALE","MALE")</f>
        <v>FEMALE</v>
      </c>
      <c r="D269">
        <v>22</v>
      </c>
      <c r="E269" t="s">
        <v>37</v>
      </c>
      <c r="F269" t="s">
        <v>37</v>
      </c>
      <c r="G269" t="s">
        <v>38</v>
      </c>
      <c r="H269" t="s">
        <v>23</v>
      </c>
      <c r="I269" s="1">
        <v>2</v>
      </c>
      <c r="J269" s="1" t="str">
        <f t="shared" si="43"/>
        <v>0-5</v>
      </c>
      <c r="K269" s="1">
        <v>2.1</v>
      </c>
      <c r="L269" s="1">
        <v>30</v>
      </c>
      <c r="M269" s="1">
        <f t="shared" si="44"/>
        <v>30</v>
      </c>
      <c r="N269" s="1">
        <f t="shared" si="45"/>
        <v>30</v>
      </c>
    </row>
    <row r="270" spans="1:16" x14ac:dyDescent="0.35">
      <c r="A270" t="s">
        <v>320</v>
      </c>
      <c r="B270" t="str">
        <f>TRIM([1]Sheet1!AD270)</f>
        <v>Barbara Keith</v>
      </c>
      <c r="C270" t="str">
        <f>IF(UPPER(LEFT([1]Sheet1!W270,1))="F","FEMALE","MALE")</f>
        <v>FEMALE</v>
      </c>
      <c r="D270">
        <v>39</v>
      </c>
      <c r="E270" t="s">
        <v>45</v>
      </c>
      <c r="F270" t="s">
        <v>45</v>
      </c>
      <c r="G270" t="s">
        <v>46</v>
      </c>
      <c r="H270" t="s">
        <v>18</v>
      </c>
      <c r="I270" s="1">
        <v>21</v>
      </c>
      <c r="J270" s="1" t="str">
        <f t="shared" si="43"/>
        <v>21- 25</v>
      </c>
      <c r="K270" s="1">
        <v>0</v>
      </c>
      <c r="L270" s="1">
        <v>100</v>
      </c>
      <c r="M270" s="1">
        <f t="shared" si="44"/>
        <v>100</v>
      </c>
      <c r="N270" s="1">
        <f t="shared" si="45"/>
        <v>100</v>
      </c>
      <c r="O270" t="s">
        <v>1053</v>
      </c>
      <c r="P270" s="4">
        <f>[2]Sheet1!K270</f>
        <v>0.91</v>
      </c>
    </row>
    <row r="271" spans="1:16" x14ac:dyDescent="0.35">
      <c r="A271" t="s">
        <v>321</v>
      </c>
      <c r="B271" t="str">
        <f>TRIM([1]Sheet1!AD271)</f>
        <v>Heather Camacho</v>
      </c>
      <c r="C271" t="str">
        <f>IF(UPPER(LEFT([1]Sheet1!W271,1))="F","FEMALE","MALE")</f>
        <v>FEMALE</v>
      </c>
      <c r="D271">
        <v>25</v>
      </c>
      <c r="E271" t="s">
        <v>45</v>
      </c>
      <c r="F271" t="s">
        <v>45</v>
      </c>
      <c r="G271" t="s">
        <v>46</v>
      </c>
      <c r="H271" t="s">
        <v>62</v>
      </c>
      <c r="I271" s="1">
        <v>3</v>
      </c>
      <c r="J271" s="1" t="str">
        <f t="shared" si="43"/>
        <v>0-5</v>
      </c>
      <c r="K271" s="1">
        <v>2.8</v>
      </c>
      <c r="L271" s="2">
        <v>50</v>
      </c>
      <c r="M271" s="1">
        <f t="shared" si="44"/>
        <v>50</v>
      </c>
      <c r="N271" s="1">
        <f t="shared" si="45"/>
        <v>50</v>
      </c>
      <c r="O271" t="s">
        <v>1054</v>
      </c>
      <c r="P271" s="3">
        <f>[2]Sheet1!K271/100</f>
        <v>0.86</v>
      </c>
    </row>
    <row r="272" spans="1:16" x14ac:dyDescent="0.35">
      <c r="A272" t="s">
        <v>322</v>
      </c>
      <c r="B272" t="str">
        <f>TRIM([1]Sheet1!AD272)</f>
        <v>Melanie Harris</v>
      </c>
      <c r="C272" t="str">
        <f>IF(UPPER(LEFT([1]Sheet1!W272,1))="F","FEMALE","MALE")</f>
        <v>FEMALE</v>
      </c>
      <c r="D272">
        <v>47</v>
      </c>
      <c r="E272" t="s">
        <v>85</v>
      </c>
      <c r="F272" t="s">
        <v>85</v>
      </c>
      <c r="G272" t="s">
        <v>86</v>
      </c>
      <c r="H272" t="s">
        <v>12</v>
      </c>
      <c r="I272" s="1">
        <v>14</v>
      </c>
      <c r="J272" s="1" t="str">
        <f t="shared" si="43"/>
        <v>11-16</v>
      </c>
      <c r="M272" s="1">
        <f t="shared" si="44"/>
        <v>0</v>
      </c>
      <c r="N272" s="1">
        <f t="shared" si="45"/>
        <v>0</v>
      </c>
      <c r="O272" t="s">
        <v>1053</v>
      </c>
      <c r="P272" s="4">
        <f>[2]Sheet1!K272</f>
        <v>0.69</v>
      </c>
    </row>
    <row r="273" spans="1:16" x14ac:dyDescent="0.35">
      <c r="A273" t="s">
        <v>323</v>
      </c>
      <c r="B273" t="str">
        <f>TRIM([1]Sheet1!AD273)</f>
        <v>Jacqueline Peterson</v>
      </c>
      <c r="C273" t="str">
        <f>IF(UPPER(LEFT([1]Sheet1!W273,1))="F","FEMALE","MALE")</f>
        <v>FEMALE</v>
      </c>
      <c r="D273">
        <v>35</v>
      </c>
      <c r="E273" t="s">
        <v>85</v>
      </c>
      <c r="F273" t="s">
        <v>85</v>
      </c>
      <c r="G273" t="s">
        <v>86</v>
      </c>
      <c r="H273" t="s">
        <v>39</v>
      </c>
      <c r="I273" s="1">
        <v>10</v>
      </c>
      <c r="J273" s="1" t="str">
        <f t="shared" si="43"/>
        <v>5-10</v>
      </c>
      <c r="K273" s="1">
        <v>4.7</v>
      </c>
      <c r="L273" s="1" t="s">
        <v>1062</v>
      </c>
      <c r="M273" s="1" t="str">
        <f t="shared" si="44"/>
        <v>USD 100</v>
      </c>
      <c r="N273" s="1">
        <v>100</v>
      </c>
      <c r="O273" t="s">
        <v>1054</v>
      </c>
      <c r="P273" s="4">
        <f>[2]Sheet1!K273</f>
        <v>0.84</v>
      </c>
    </row>
    <row r="274" spans="1:16" x14ac:dyDescent="0.35">
      <c r="A274" t="s">
        <v>324</v>
      </c>
      <c r="B274" t="str">
        <f>TRIM([1]Sheet1!AD274)</f>
        <v>Nancy Long</v>
      </c>
      <c r="C274" t="str">
        <f>IF(UPPER(LEFT([1]Sheet1!W274,1))="F","FEMALE","MALE")</f>
        <v>FEMALE</v>
      </c>
      <c r="E274" t="s">
        <v>35</v>
      </c>
      <c r="F274" t="s">
        <v>35</v>
      </c>
      <c r="G274" t="s">
        <v>11</v>
      </c>
      <c r="H274" t="s">
        <v>41</v>
      </c>
      <c r="I274" s="1">
        <v>5</v>
      </c>
      <c r="J274" s="1" t="str">
        <f t="shared" si="43"/>
        <v>0-5</v>
      </c>
      <c r="K274" s="1">
        <v>1.3</v>
      </c>
      <c r="L274" s="1">
        <v>100</v>
      </c>
      <c r="M274" s="1">
        <f t="shared" si="44"/>
        <v>100</v>
      </c>
      <c r="N274" s="1">
        <f>M274</f>
        <v>100</v>
      </c>
      <c r="O274" t="s">
        <v>1053</v>
      </c>
      <c r="P274" s="4">
        <f>[2]Sheet1!K274</f>
        <v>0.6</v>
      </c>
    </row>
    <row r="275" spans="1:16" x14ac:dyDescent="0.35">
      <c r="A275" t="s">
        <v>325</v>
      </c>
      <c r="B275" t="str">
        <f>TRIM([1]Sheet1!AD275)</f>
        <v>Juan Mitchell</v>
      </c>
      <c r="C275" t="str">
        <f>IF(UPPER(LEFT([1]Sheet1!W275,1))="F","FEMALE","MALE")</f>
        <v>MALE</v>
      </c>
      <c r="D275">
        <v>35</v>
      </c>
      <c r="E275" t="s">
        <v>21</v>
      </c>
      <c r="F275" t="s">
        <v>21</v>
      </c>
      <c r="G275" t="s">
        <v>22</v>
      </c>
      <c r="H275" t="s">
        <v>8</v>
      </c>
      <c r="I275" s="1">
        <v>6</v>
      </c>
      <c r="J275" s="1" t="str">
        <f t="shared" si="43"/>
        <v>5-10</v>
      </c>
      <c r="K275" s="1">
        <v>1.6</v>
      </c>
      <c r="L275" s="1" t="s">
        <v>1063</v>
      </c>
      <c r="M275" s="1" t="str">
        <f t="shared" si="44"/>
        <v>USD 75</v>
      </c>
      <c r="N275" s="1">
        <v>75</v>
      </c>
      <c r="O275" t="s">
        <v>1054</v>
      </c>
      <c r="P275" s="4">
        <f>[2]Sheet1!K275</f>
        <v>0.97</v>
      </c>
    </row>
    <row r="276" spans="1:16" x14ac:dyDescent="0.35">
      <c r="A276" t="s">
        <v>326</v>
      </c>
      <c r="B276" t="str">
        <f>TRIM([1]Sheet1!AD276)</f>
        <v>William Gaines</v>
      </c>
      <c r="C276" t="str">
        <f>IF(UPPER(LEFT([1]Sheet1!W276,1))="F","FEMALE","MALE")</f>
        <v>MALE</v>
      </c>
      <c r="D276">
        <v>59</v>
      </c>
      <c r="E276" t="s">
        <v>74</v>
      </c>
      <c r="F276" t="s">
        <v>74</v>
      </c>
      <c r="G276" t="s">
        <v>75</v>
      </c>
      <c r="H276" t="s">
        <v>18</v>
      </c>
      <c r="I276" s="1">
        <v>21</v>
      </c>
      <c r="J276" s="1" t="str">
        <f t="shared" si="43"/>
        <v>21- 25</v>
      </c>
      <c r="K276" s="1">
        <v>0</v>
      </c>
      <c r="L276" s="1">
        <v>100</v>
      </c>
      <c r="M276" s="1">
        <f t="shared" si="44"/>
        <v>100</v>
      </c>
      <c r="N276" s="1">
        <f>M276</f>
        <v>100</v>
      </c>
      <c r="P276" s="4">
        <f>[2]Sheet1!K276</f>
        <v>0.7</v>
      </c>
    </row>
    <row r="277" spans="1:16" x14ac:dyDescent="0.35">
      <c r="A277" t="s">
        <v>327</v>
      </c>
      <c r="B277" t="str">
        <f>TRIM([1]Sheet1!AD277)</f>
        <v>Haley Yates</v>
      </c>
      <c r="C277" t="str">
        <f>IF(UPPER(LEFT([1]Sheet1!W277,1))="F","FEMALE","MALE")</f>
        <v>FEMALE</v>
      </c>
      <c r="D277">
        <v>26</v>
      </c>
      <c r="E277" t="s">
        <v>96</v>
      </c>
      <c r="F277" t="s">
        <v>96</v>
      </c>
      <c r="G277" t="s">
        <v>97</v>
      </c>
      <c r="H277" t="s">
        <v>39</v>
      </c>
      <c r="I277" s="1">
        <v>4</v>
      </c>
      <c r="J277" s="1" t="str">
        <f t="shared" si="43"/>
        <v>0-5</v>
      </c>
      <c r="K277" s="1">
        <v>3.6</v>
      </c>
      <c r="L277" s="1" t="s">
        <v>1062</v>
      </c>
      <c r="M277" s="1" t="str">
        <f t="shared" si="44"/>
        <v>USD 100</v>
      </c>
      <c r="N277" s="1">
        <v>100</v>
      </c>
      <c r="O277" t="s">
        <v>1053</v>
      </c>
      <c r="P277" s="4">
        <f>[2]Sheet1!K277</f>
        <v>0.81</v>
      </c>
    </row>
    <row r="278" spans="1:16" x14ac:dyDescent="0.35">
      <c r="A278" t="s">
        <v>328</v>
      </c>
      <c r="B278" t="str">
        <f>TRIM([1]Sheet1!AD278)</f>
        <v>Richard Mcguire</v>
      </c>
      <c r="C278" t="str">
        <f>IF(UPPER(LEFT([1]Sheet1!W278,1))="F","FEMALE","MALE")</f>
        <v>MALE</v>
      </c>
      <c r="D278">
        <v>44</v>
      </c>
      <c r="E278" t="s">
        <v>67</v>
      </c>
      <c r="F278" t="s">
        <v>67</v>
      </c>
      <c r="G278" t="s">
        <v>68</v>
      </c>
      <c r="H278" t="s">
        <v>62</v>
      </c>
      <c r="I278" s="1">
        <v>18</v>
      </c>
      <c r="J278" s="1" t="str">
        <f t="shared" si="43"/>
        <v xml:space="preserve"> 16-20</v>
      </c>
      <c r="K278" s="1">
        <v>4.7</v>
      </c>
      <c r="L278" s="1">
        <v>20</v>
      </c>
      <c r="M278" s="1">
        <f t="shared" si="44"/>
        <v>20</v>
      </c>
      <c r="N278" s="1">
        <f t="shared" ref="N278:N280" si="46">M278</f>
        <v>20</v>
      </c>
      <c r="O278" t="s">
        <v>1054</v>
      </c>
      <c r="P278" s="4">
        <f>[2]Sheet1!K278</f>
        <v>0.88</v>
      </c>
    </row>
    <row r="279" spans="1:16" x14ac:dyDescent="0.35">
      <c r="A279" t="s">
        <v>329</v>
      </c>
      <c r="B279" t="str">
        <f>TRIM([1]Sheet1!AD279)</f>
        <v>Stephanie Fisher</v>
      </c>
      <c r="C279" t="str">
        <f>IF(UPPER(LEFT([1]Sheet1!W279,1))="F","FEMALE","MALE")</f>
        <v>FEMALE</v>
      </c>
      <c r="D279">
        <v>31</v>
      </c>
      <c r="E279" t="s">
        <v>85</v>
      </c>
      <c r="F279" t="s">
        <v>85</v>
      </c>
      <c r="G279" t="s">
        <v>86</v>
      </c>
      <c r="H279" t="s">
        <v>39</v>
      </c>
      <c r="I279" s="1">
        <v>12</v>
      </c>
      <c r="J279" s="1" t="str">
        <f t="shared" si="43"/>
        <v>11-16</v>
      </c>
      <c r="L279" s="2">
        <v>40</v>
      </c>
      <c r="M279" s="1">
        <f t="shared" si="44"/>
        <v>40</v>
      </c>
      <c r="N279" s="1">
        <f t="shared" si="46"/>
        <v>40</v>
      </c>
      <c r="O279" t="s">
        <v>1054</v>
      </c>
      <c r="P279" s="4">
        <f>[2]Sheet1!K279</f>
        <v>1</v>
      </c>
    </row>
    <row r="280" spans="1:16" x14ac:dyDescent="0.35">
      <c r="A280" t="s">
        <v>330</v>
      </c>
      <c r="B280" t="str">
        <f>TRIM([1]Sheet1!AD280)</f>
        <v>Anthony Goodwin DDS</v>
      </c>
      <c r="C280" t="str">
        <f>IF(UPPER(LEFT([1]Sheet1!W280,1))="F","FEMALE","MALE")</f>
        <v>MALE</v>
      </c>
      <c r="D280">
        <v>60</v>
      </c>
      <c r="E280" t="s">
        <v>32</v>
      </c>
      <c r="F280" t="s">
        <v>32</v>
      </c>
      <c r="G280" t="s">
        <v>33</v>
      </c>
      <c r="H280" t="s">
        <v>27</v>
      </c>
      <c r="I280" s="1">
        <v>6</v>
      </c>
      <c r="J280" s="1" t="str">
        <f t="shared" si="43"/>
        <v>5-10</v>
      </c>
      <c r="K280" s="1">
        <v>3.2</v>
      </c>
      <c r="M280" s="1">
        <f t="shared" si="44"/>
        <v>0</v>
      </c>
      <c r="N280" s="1">
        <f t="shared" si="46"/>
        <v>0</v>
      </c>
      <c r="O280" t="s">
        <v>1053</v>
      </c>
      <c r="P280" s="3">
        <f>[2]Sheet1!K280/100</f>
        <v>0.95</v>
      </c>
    </row>
    <row r="281" spans="1:16" x14ac:dyDescent="0.35">
      <c r="A281" t="s">
        <v>331</v>
      </c>
      <c r="B281" t="str">
        <f>TRIM([1]Sheet1!AD281)</f>
        <v>Meagan Walters</v>
      </c>
      <c r="C281" t="str">
        <f>IF(UPPER(LEFT([1]Sheet1!W281,1))="F","FEMALE","MALE")</f>
        <v>FEMALE</v>
      </c>
      <c r="D281">
        <v>23</v>
      </c>
      <c r="E281" t="s">
        <v>35</v>
      </c>
      <c r="F281" t="s">
        <v>35</v>
      </c>
      <c r="G281" t="s">
        <v>11</v>
      </c>
      <c r="H281" t="s">
        <v>8</v>
      </c>
      <c r="I281" s="1">
        <v>4</v>
      </c>
      <c r="J281" s="1" t="str">
        <f t="shared" si="43"/>
        <v>0-5</v>
      </c>
      <c r="L281" s="1" t="s">
        <v>1067</v>
      </c>
      <c r="M281" s="1" t="str">
        <f t="shared" si="44"/>
        <v>USD 20</v>
      </c>
      <c r="N281" s="1">
        <v>20</v>
      </c>
      <c r="O281" t="s">
        <v>1053</v>
      </c>
      <c r="P281" s="4">
        <f>[2]Sheet1!K281</f>
        <v>0.71</v>
      </c>
    </row>
    <row r="282" spans="1:16" x14ac:dyDescent="0.35">
      <c r="A282" t="s">
        <v>332</v>
      </c>
      <c r="B282" t="str">
        <f>TRIM([1]Sheet1!AD282)</f>
        <v>David Powell</v>
      </c>
      <c r="C282" t="str">
        <f>IF(UPPER(LEFT([1]Sheet1!W282,1))="F","FEMALE","MALE")</f>
        <v>MALE</v>
      </c>
      <c r="D282">
        <v>42</v>
      </c>
      <c r="E282" t="s">
        <v>25</v>
      </c>
      <c r="F282" t="s">
        <v>25</v>
      </c>
      <c r="G282" t="s">
        <v>26</v>
      </c>
      <c r="H282" t="s">
        <v>39</v>
      </c>
      <c r="I282" s="1">
        <v>13</v>
      </c>
      <c r="J282" s="1" t="str">
        <f t="shared" si="43"/>
        <v>11-16</v>
      </c>
      <c r="K282" s="1">
        <v>4.7</v>
      </c>
      <c r="L282" s="2">
        <v>20</v>
      </c>
      <c r="M282" s="1">
        <f t="shared" si="44"/>
        <v>20</v>
      </c>
      <c r="N282" s="1">
        <f t="shared" ref="N282:N283" si="47">M282</f>
        <v>20</v>
      </c>
      <c r="O282" t="s">
        <v>1053</v>
      </c>
      <c r="P282" s="4">
        <f>[2]Sheet1!K282</f>
        <v>0.85</v>
      </c>
    </row>
    <row r="283" spans="1:16" x14ac:dyDescent="0.35">
      <c r="A283" t="s">
        <v>333</v>
      </c>
      <c r="B283" t="str">
        <f>TRIM([1]Sheet1!AD283)</f>
        <v>Kelly Jones</v>
      </c>
      <c r="C283" t="str">
        <f>IF(UPPER(LEFT([1]Sheet1!W283,1))="F","FEMALE","MALE")</f>
        <v>FEMALE</v>
      </c>
      <c r="D283">
        <v>48</v>
      </c>
      <c r="E283" t="s">
        <v>50</v>
      </c>
      <c r="F283" t="s">
        <v>50</v>
      </c>
      <c r="G283" t="s">
        <v>51</v>
      </c>
      <c r="H283" t="s">
        <v>12</v>
      </c>
      <c r="I283" s="1">
        <v>6</v>
      </c>
      <c r="J283" s="1" t="str">
        <f t="shared" si="43"/>
        <v>5-10</v>
      </c>
      <c r="L283" s="1">
        <v>30</v>
      </c>
      <c r="M283" s="1">
        <f t="shared" si="44"/>
        <v>30</v>
      </c>
      <c r="N283" s="1">
        <f t="shared" si="47"/>
        <v>30</v>
      </c>
      <c r="O283" t="s">
        <v>1053</v>
      </c>
      <c r="P283" s="4">
        <f>[2]Sheet1!K283</f>
        <v>0.96</v>
      </c>
    </row>
    <row r="284" spans="1:16" x14ac:dyDescent="0.35">
      <c r="A284" t="s">
        <v>334</v>
      </c>
      <c r="B284" t="str">
        <f>TRIM([1]Sheet1!AD284)</f>
        <v>Michael Aguilar</v>
      </c>
      <c r="C284" t="str">
        <f>IF(UPPER(LEFT([1]Sheet1!W284,1))="F","FEMALE","MALE")</f>
        <v>MALE</v>
      </c>
      <c r="D284">
        <v>42</v>
      </c>
      <c r="E284" t="s">
        <v>21</v>
      </c>
      <c r="F284" t="s">
        <v>21</v>
      </c>
      <c r="G284" t="s">
        <v>22</v>
      </c>
      <c r="H284" t="s">
        <v>16</v>
      </c>
      <c r="I284" s="1">
        <v>10</v>
      </c>
      <c r="J284" s="1" t="str">
        <f t="shared" si="43"/>
        <v>5-10</v>
      </c>
      <c r="K284" s="1">
        <v>2.4</v>
      </c>
      <c r="L284" s="1" t="s">
        <v>1067</v>
      </c>
      <c r="M284" s="1" t="str">
        <f t="shared" si="44"/>
        <v>USD 20</v>
      </c>
      <c r="N284" s="1">
        <v>20</v>
      </c>
      <c r="O284" t="s">
        <v>1054</v>
      </c>
      <c r="P284" s="4">
        <f>[2]Sheet1!K284</f>
        <v>0.92</v>
      </c>
    </row>
    <row r="285" spans="1:16" x14ac:dyDescent="0.35">
      <c r="A285" t="s">
        <v>335</v>
      </c>
      <c r="B285" t="str">
        <f>TRIM([1]Sheet1!AD285)</f>
        <v>Alex Novak</v>
      </c>
      <c r="C285" t="str">
        <f>IF(UPPER(LEFT([1]Sheet1!W285,1))="F","FEMALE","MALE")</f>
        <v>MALE</v>
      </c>
      <c r="D285">
        <v>52</v>
      </c>
      <c r="E285" t="s">
        <v>60</v>
      </c>
      <c r="F285" t="s">
        <v>60</v>
      </c>
      <c r="G285" t="s">
        <v>61</v>
      </c>
      <c r="H285" t="s">
        <v>41</v>
      </c>
      <c r="I285" s="1">
        <v>20</v>
      </c>
      <c r="J285" s="1" t="str">
        <f t="shared" si="43"/>
        <v xml:space="preserve"> 16-20</v>
      </c>
      <c r="L285" s="1">
        <v>50</v>
      </c>
      <c r="M285" s="1">
        <f t="shared" si="44"/>
        <v>50</v>
      </c>
      <c r="N285" s="1">
        <f t="shared" ref="N285:N304" si="48">M285</f>
        <v>50</v>
      </c>
      <c r="O285" t="s">
        <v>1053</v>
      </c>
      <c r="P285" s="4">
        <f>[2]Sheet1!K285</f>
        <v>0.79</v>
      </c>
    </row>
    <row r="286" spans="1:16" x14ac:dyDescent="0.35">
      <c r="A286" t="s">
        <v>336</v>
      </c>
      <c r="B286" t="str">
        <f>TRIM([1]Sheet1!AD286)</f>
        <v>Ann Contreras</v>
      </c>
      <c r="C286" t="str">
        <f>IF(UPPER(LEFT([1]Sheet1!W286,1))="F","FEMALE","MALE")</f>
        <v>FEMALE</v>
      </c>
      <c r="D286">
        <v>55</v>
      </c>
      <c r="E286" t="s">
        <v>45</v>
      </c>
      <c r="F286" t="s">
        <v>45</v>
      </c>
      <c r="G286" t="s">
        <v>46</v>
      </c>
      <c r="H286" t="s">
        <v>18</v>
      </c>
      <c r="I286" s="1">
        <v>20</v>
      </c>
      <c r="J286" s="1" t="str">
        <f t="shared" si="43"/>
        <v xml:space="preserve"> 16-20</v>
      </c>
      <c r="K286" s="1">
        <v>2.9</v>
      </c>
      <c r="L286" s="1">
        <v>75</v>
      </c>
      <c r="M286" s="1">
        <f t="shared" si="44"/>
        <v>75</v>
      </c>
      <c r="N286" s="1">
        <f t="shared" si="48"/>
        <v>75</v>
      </c>
      <c r="O286" t="s">
        <v>1053</v>
      </c>
    </row>
    <row r="287" spans="1:16" x14ac:dyDescent="0.35">
      <c r="A287" t="s">
        <v>337</v>
      </c>
      <c r="B287" t="str">
        <f>TRIM([1]Sheet1!AD287)</f>
        <v>Mary Reed</v>
      </c>
      <c r="C287" t="str">
        <f>IF(UPPER(LEFT([1]Sheet1!W287,1))="F","FEMALE","MALE")</f>
        <v>FEMALE</v>
      </c>
      <c r="D287">
        <v>58</v>
      </c>
      <c r="E287" t="s">
        <v>85</v>
      </c>
      <c r="F287" t="s">
        <v>85</v>
      </c>
      <c r="G287" t="s">
        <v>86</v>
      </c>
      <c r="H287" t="s">
        <v>41</v>
      </c>
      <c r="I287" s="1">
        <v>11</v>
      </c>
      <c r="J287" s="1" t="str">
        <f t="shared" si="43"/>
        <v>11-16</v>
      </c>
      <c r="K287" s="1">
        <v>0</v>
      </c>
      <c r="L287" s="1">
        <v>50</v>
      </c>
      <c r="M287" s="1">
        <f t="shared" si="44"/>
        <v>50</v>
      </c>
      <c r="N287" s="1">
        <f t="shared" si="48"/>
        <v>50</v>
      </c>
      <c r="O287" t="s">
        <v>1053</v>
      </c>
    </row>
    <row r="288" spans="1:16" x14ac:dyDescent="0.35">
      <c r="A288" t="s">
        <v>338</v>
      </c>
      <c r="B288" t="str">
        <f>TRIM([1]Sheet1!AD288)</f>
        <v>Lauren Ross</v>
      </c>
      <c r="C288" t="str">
        <f>IF(UPPER(LEFT([1]Sheet1!W288,1))="F","FEMALE","MALE")</f>
        <v>FEMALE</v>
      </c>
      <c r="D288">
        <v>46</v>
      </c>
      <c r="E288" t="s">
        <v>60</v>
      </c>
      <c r="F288" t="s">
        <v>60</v>
      </c>
      <c r="G288" t="s">
        <v>61</v>
      </c>
      <c r="H288" t="s">
        <v>62</v>
      </c>
      <c r="I288" s="1">
        <v>12</v>
      </c>
      <c r="J288" s="1" t="str">
        <f t="shared" si="43"/>
        <v>11-16</v>
      </c>
      <c r="K288" s="1">
        <v>0</v>
      </c>
      <c r="L288" s="1">
        <v>20</v>
      </c>
      <c r="M288" s="1">
        <f t="shared" si="44"/>
        <v>20</v>
      </c>
      <c r="N288" s="1">
        <f t="shared" si="48"/>
        <v>20</v>
      </c>
      <c r="O288" t="s">
        <v>1053</v>
      </c>
      <c r="P288" s="4">
        <f>[2]Sheet1!K288</f>
        <v>0.89</v>
      </c>
    </row>
    <row r="289" spans="1:16" x14ac:dyDescent="0.35">
      <c r="A289" t="s">
        <v>339</v>
      </c>
      <c r="B289" t="str">
        <f>TRIM([1]Sheet1!AD289)</f>
        <v>Candice Wise</v>
      </c>
      <c r="C289" t="str">
        <f>IF(UPPER(LEFT([1]Sheet1!W289,1))="F","FEMALE","MALE")</f>
        <v>FEMALE</v>
      </c>
      <c r="D289">
        <v>45</v>
      </c>
      <c r="E289" t="s">
        <v>105</v>
      </c>
      <c r="F289" t="s">
        <v>105</v>
      </c>
      <c r="G289" t="s">
        <v>38</v>
      </c>
      <c r="H289" t="s">
        <v>62</v>
      </c>
      <c r="I289" s="1">
        <v>1</v>
      </c>
      <c r="J289" s="1" t="str">
        <f t="shared" si="43"/>
        <v>0-5</v>
      </c>
      <c r="K289" s="1">
        <v>1.5</v>
      </c>
      <c r="L289" s="1">
        <v>100</v>
      </c>
      <c r="M289" s="1">
        <f t="shared" si="44"/>
        <v>100</v>
      </c>
      <c r="N289" s="1">
        <f t="shared" si="48"/>
        <v>100</v>
      </c>
      <c r="O289" t="s">
        <v>1054</v>
      </c>
      <c r="P289" s="4">
        <f>[2]Sheet1!K289</f>
        <v>1</v>
      </c>
    </row>
    <row r="290" spans="1:16" x14ac:dyDescent="0.35">
      <c r="A290" t="s">
        <v>340</v>
      </c>
      <c r="B290" t="str">
        <f>TRIM([1]Sheet1!AD290)</f>
        <v>Joyce Humphrey</v>
      </c>
      <c r="C290" t="str">
        <f>IF(UPPER(LEFT([1]Sheet1!W290,1))="F","FEMALE","MALE")</f>
        <v>FEMALE</v>
      </c>
      <c r="D290">
        <v>56</v>
      </c>
      <c r="E290" t="s">
        <v>50</v>
      </c>
      <c r="F290" t="s">
        <v>50</v>
      </c>
      <c r="G290" t="s">
        <v>51</v>
      </c>
      <c r="H290" t="s">
        <v>62</v>
      </c>
      <c r="I290" s="1">
        <v>2</v>
      </c>
      <c r="J290" s="1" t="str">
        <f t="shared" si="43"/>
        <v>0-5</v>
      </c>
      <c r="K290" s="1">
        <v>1.9</v>
      </c>
      <c r="L290" s="1">
        <v>30</v>
      </c>
      <c r="M290" s="1">
        <f t="shared" si="44"/>
        <v>30</v>
      </c>
      <c r="N290" s="1">
        <f t="shared" si="48"/>
        <v>30</v>
      </c>
      <c r="O290" t="s">
        <v>1054</v>
      </c>
      <c r="P290" s="4">
        <f>[2]Sheet1!K290</f>
        <v>0.81</v>
      </c>
    </row>
    <row r="291" spans="1:16" x14ac:dyDescent="0.35">
      <c r="A291" t="s">
        <v>341</v>
      </c>
      <c r="B291" t="str">
        <f>TRIM([1]Sheet1!AD291)</f>
        <v>James Carr</v>
      </c>
      <c r="C291" t="str">
        <f>IF(UPPER(LEFT([1]Sheet1!W291,1))="F","FEMALE","MALE")</f>
        <v>MALE</v>
      </c>
      <c r="D291">
        <v>44</v>
      </c>
      <c r="E291" t="s">
        <v>35</v>
      </c>
      <c r="F291" t="s">
        <v>35</v>
      </c>
      <c r="G291" t="s">
        <v>11</v>
      </c>
      <c r="H291" t="s">
        <v>8</v>
      </c>
      <c r="I291" s="1">
        <v>13</v>
      </c>
      <c r="J291" s="1" t="str">
        <f t="shared" si="43"/>
        <v>11-16</v>
      </c>
      <c r="K291" s="1">
        <v>3.1</v>
      </c>
      <c r="L291" s="1">
        <v>100</v>
      </c>
      <c r="M291" s="1">
        <f t="shared" si="44"/>
        <v>100</v>
      </c>
      <c r="N291" s="1">
        <f t="shared" si="48"/>
        <v>100</v>
      </c>
      <c r="O291" t="s">
        <v>1054</v>
      </c>
      <c r="P291" s="3">
        <f>[2]Sheet1!K291/100</f>
        <v>0.95</v>
      </c>
    </row>
    <row r="292" spans="1:16" x14ac:dyDescent="0.35">
      <c r="A292" t="s">
        <v>342</v>
      </c>
      <c r="B292" t="str">
        <f>TRIM([1]Sheet1!AD292)</f>
        <v>Joseph Mendoza</v>
      </c>
      <c r="C292" t="str">
        <f>IF(UPPER(LEFT([1]Sheet1!W292,1))="F","FEMALE","MALE")</f>
        <v>MALE</v>
      </c>
      <c r="D292">
        <v>46</v>
      </c>
      <c r="E292" t="s">
        <v>25</v>
      </c>
      <c r="F292" t="s">
        <v>25</v>
      </c>
      <c r="G292" t="s">
        <v>26</v>
      </c>
      <c r="H292" t="s">
        <v>39</v>
      </c>
      <c r="I292" s="1">
        <v>0</v>
      </c>
      <c r="J292" s="1" t="str">
        <f t="shared" si="43"/>
        <v>0-5</v>
      </c>
      <c r="K292" s="1">
        <v>1.8</v>
      </c>
      <c r="M292" s="1">
        <f t="shared" si="44"/>
        <v>0</v>
      </c>
      <c r="N292" s="1">
        <f t="shared" si="48"/>
        <v>0</v>
      </c>
      <c r="O292" t="s">
        <v>1053</v>
      </c>
      <c r="P292" s="4">
        <f>[2]Sheet1!K292</f>
        <v>0.88</v>
      </c>
    </row>
    <row r="293" spans="1:16" x14ac:dyDescent="0.35">
      <c r="A293" t="s">
        <v>343</v>
      </c>
      <c r="B293" t="str">
        <f>TRIM([1]Sheet1!AD293)</f>
        <v>Cathy Baldwin</v>
      </c>
      <c r="C293" t="str">
        <f>IF(UPPER(LEFT([1]Sheet1!W293,1))="F","FEMALE","MALE")</f>
        <v>FEMALE</v>
      </c>
      <c r="D293">
        <v>27</v>
      </c>
      <c r="E293" t="s">
        <v>45</v>
      </c>
      <c r="F293" t="s">
        <v>45</v>
      </c>
      <c r="G293" t="s">
        <v>46</v>
      </c>
      <c r="H293" t="s">
        <v>18</v>
      </c>
      <c r="I293" s="1">
        <v>7</v>
      </c>
      <c r="J293" s="1" t="str">
        <f t="shared" si="43"/>
        <v>5-10</v>
      </c>
      <c r="K293" s="1">
        <v>2.4</v>
      </c>
      <c r="L293" s="1">
        <v>30</v>
      </c>
      <c r="M293" s="1">
        <f t="shared" si="44"/>
        <v>30</v>
      </c>
      <c r="N293" s="1">
        <f t="shared" si="48"/>
        <v>30</v>
      </c>
      <c r="O293" t="s">
        <v>1054</v>
      </c>
      <c r="P293" s="4">
        <f>[2]Sheet1!K293</f>
        <v>0.66</v>
      </c>
    </row>
    <row r="294" spans="1:16" x14ac:dyDescent="0.35">
      <c r="A294" t="s">
        <v>344</v>
      </c>
      <c r="B294" t="str">
        <f>TRIM([1]Sheet1!AD294)</f>
        <v>Christine Hart</v>
      </c>
      <c r="C294" t="str">
        <f>IF(UPPER(LEFT([1]Sheet1!W294,1))="F","FEMALE","MALE")</f>
        <v>FEMALE</v>
      </c>
      <c r="D294">
        <v>49</v>
      </c>
      <c r="E294" t="s">
        <v>50</v>
      </c>
      <c r="F294" t="s">
        <v>50</v>
      </c>
      <c r="G294" t="s">
        <v>51</v>
      </c>
      <c r="H294" t="s">
        <v>8</v>
      </c>
      <c r="I294" s="1">
        <v>13</v>
      </c>
      <c r="J294" s="1" t="str">
        <f t="shared" si="43"/>
        <v>11-16</v>
      </c>
      <c r="K294" s="1">
        <v>4.2</v>
      </c>
      <c r="L294" s="1">
        <v>100</v>
      </c>
      <c r="M294" s="1">
        <f t="shared" si="44"/>
        <v>100</v>
      </c>
      <c r="N294" s="1">
        <f t="shared" si="48"/>
        <v>100</v>
      </c>
      <c r="O294" t="s">
        <v>1054</v>
      </c>
      <c r="P294" s="4">
        <f>[2]Sheet1!K294</f>
        <v>0.84</v>
      </c>
    </row>
    <row r="295" spans="1:16" x14ac:dyDescent="0.35">
      <c r="A295" t="s">
        <v>345</v>
      </c>
      <c r="B295" t="str">
        <f>TRIM([1]Sheet1!AD295)</f>
        <v>Mike Stanley</v>
      </c>
      <c r="C295" t="str">
        <f>IF(UPPER(LEFT([1]Sheet1!W295,1))="F","FEMALE","MALE")</f>
        <v>MALE</v>
      </c>
      <c r="D295">
        <v>53</v>
      </c>
      <c r="E295" t="s">
        <v>99</v>
      </c>
      <c r="F295" t="s">
        <v>99</v>
      </c>
      <c r="G295" t="s">
        <v>38</v>
      </c>
      <c r="H295" t="s">
        <v>18</v>
      </c>
      <c r="I295" s="1">
        <v>21</v>
      </c>
      <c r="J295" s="1" t="str">
        <f t="shared" si="43"/>
        <v>21- 25</v>
      </c>
      <c r="K295" s="1">
        <v>1.4</v>
      </c>
      <c r="L295" s="2">
        <v>50</v>
      </c>
      <c r="M295" s="1">
        <f t="shared" si="44"/>
        <v>50</v>
      </c>
      <c r="N295" s="1">
        <f t="shared" si="48"/>
        <v>50</v>
      </c>
      <c r="O295" t="s">
        <v>1053</v>
      </c>
    </row>
    <row r="296" spans="1:16" x14ac:dyDescent="0.35">
      <c r="A296" t="s">
        <v>346</v>
      </c>
      <c r="B296" t="str">
        <f>TRIM([1]Sheet1!AD296)</f>
        <v>Jeffrey Edwards</v>
      </c>
      <c r="C296" t="str">
        <f>IF(UPPER(LEFT([1]Sheet1!W296,1))="F","FEMALE","MALE")</f>
        <v>MALE</v>
      </c>
      <c r="D296">
        <v>56</v>
      </c>
      <c r="E296" t="s">
        <v>10</v>
      </c>
      <c r="F296" t="s">
        <v>10</v>
      </c>
      <c r="G296" t="s">
        <v>11</v>
      </c>
      <c r="H296" t="s">
        <v>18</v>
      </c>
      <c r="I296" s="1">
        <v>19</v>
      </c>
      <c r="J296" s="1" t="str">
        <f t="shared" si="43"/>
        <v xml:space="preserve"> 16-20</v>
      </c>
      <c r="K296" s="1">
        <v>1.2</v>
      </c>
      <c r="L296" s="1">
        <v>40</v>
      </c>
      <c r="M296" s="1">
        <f t="shared" si="44"/>
        <v>40</v>
      </c>
      <c r="N296" s="1">
        <f t="shared" si="48"/>
        <v>40</v>
      </c>
      <c r="O296" t="s">
        <v>1054</v>
      </c>
      <c r="P296" s="4">
        <f>[2]Sheet1!K296</f>
        <v>0.82</v>
      </c>
    </row>
    <row r="297" spans="1:16" x14ac:dyDescent="0.35">
      <c r="A297" t="s">
        <v>347</v>
      </c>
      <c r="B297" t="str">
        <f>TRIM([1]Sheet1!AD297)</f>
        <v>Amy Lee</v>
      </c>
      <c r="C297" t="str">
        <f>IF(UPPER(LEFT([1]Sheet1!W297,1))="F","FEMALE","MALE")</f>
        <v>FEMALE</v>
      </c>
      <c r="D297">
        <v>56</v>
      </c>
      <c r="E297" t="s">
        <v>35</v>
      </c>
      <c r="F297" t="s">
        <v>35</v>
      </c>
      <c r="G297" t="s">
        <v>11</v>
      </c>
      <c r="H297" t="s">
        <v>48</v>
      </c>
      <c r="I297" s="1">
        <v>34</v>
      </c>
      <c r="J297" s="1" t="str">
        <f t="shared" si="43"/>
        <v>31+</v>
      </c>
      <c r="K297" s="1">
        <v>2.1</v>
      </c>
      <c r="M297" s="1">
        <f t="shared" si="44"/>
        <v>0</v>
      </c>
      <c r="N297" s="1">
        <f t="shared" si="48"/>
        <v>0</v>
      </c>
      <c r="O297" t="s">
        <v>1054</v>
      </c>
      <c r="P297" s="4">
        <f>[2]Sheet1!K297</f>
        <v>0.84</v>
      </c>
    </row>
    <row r="298" spans="1:16" x14ac:dyDescent="0.35">
      <c r="A298" t="s">
        <v>348</v>
      </c>
      <c r="B298" t="str">
        <f>TRIM([1]Sheet1!AD298)</f>
        <v>Mark Thompson</v>
      </c>
      <c r="C298" t="str">
        <f>IF(UPPER(LEFT([1]Sheet1!W298,1))="F","FEMALE","MALE")</f>
        <v>MALE</v>
      </c>
      <c r="D298">
        <v>38</v>
      </c>
      <c r="E298" t="s">
        <v>85</v>
      </c>
      <c r="F298" t="s">
        <v>85</v>
      </c>
      <c r="G298" t="s">
        <v>86</v>
      </c>
      <c r="H298" t="s">
        <v>27</v>
      </c>
      <c r="I298" s="1">
        <v>3</v>
      </c>
      <c r="J298" s="1" t="str">
        <f t="shared" si="43"/>
        <v>0-5</v>
      </c>
      <c r="K298" s="1">
        <v>1.4</v>
      </c>
      <c r="L298" s="1">
        <v>100</v>
      </c>
      <c r="M298" s="1">
        <f t="shared" si="44"/>
        <v>100</v>
      </c>
      <c r="N298" s="1">
        <f t="shared" si="48"/>
        <v>100</v>
      </c>
      <c r="O298" t="s">
        <v>1053</v>
      </c>
      <c r="P298" s="4">
        <f>[2]Sheet1!K298</f>
        <v>0.73</v>
      </c>
    </row>
    <row r="299" spans="1:16" x14ac:dyDescent="0.35">
      <c r="A299" t="s">
        <v>349</v>
      </c>
      <c r="B299" t="str">
        <f>TRIM([1]Sheet1!AD299)</f>
        <v>Alex Wilson</v>
      </c>
      <c r="C299" t="str">
        <f>IF(UPPER(LEFT([1]Sheet1!W299,1))="F","FEMALE","MALE")</f>
        <v>MALE</v>
      </c>
      <c r="D299">
        <v>20</v>
      </c>
      <c r="E299" t="s">
        <v>60</v>
      </c>
      <c r="F299" t="s">
        <v>60</v>
      </c>
      <c r="G299" t="s">
        <v>61</v>
      </c>
      <c r="H299" t="s">
        <v>12</v>
      </c>
      <c r="I299" s="1">
        <v>0</v>
      </c>
      <c r="J299" s="1" t="str">
        <f t="shared" si="43"/>
        <v>0-5</v>
      </c>
      <c r="K299" s="1">
        <v>3.8</v>
      </c>
      <c r="L299" s="1">
        <v>30</v>
      </c>
      <c r="M299" s="1">
        <f t="shared" si="44"/>
        <v>30</v>
      </c>
      <c r="N299" s="1">
        <f t="shared" si="48"/>
        <v>30</v>
      </c>
      <c r="P299" s="4">
        <f>[2]Sheet1!K299</f>
        <v>0.93</v>
      </c>
    </row>
    <row r="300" spans="1:16" x14ac:dyDescent="0.35">
      <c r="A300" t="s">
        <v>350</v>
      </c>
      <c r="B300" t="str">
        <f>TRIM([1]Sheet1!AD300)</f>
        <v>Nancy Mendez</v>
      </c>
      <c r="C300" t="str">
        <f>IF(UPPER(LEFT([1]Sheet1!W300,1))="F","FEMALE","MALE")</f>
        <v>FEMALE</v>
      </c>
      <c r="D300">
        <v>38</v>
      </c>
      <c r="E300" t="s">
        <v>70</v>
      </c>
      <c r="F300" t="s">
        <v>70</v>
      </c>
      <c r="G300" t="s">
        <v>11</v>
      </c>
      <c r="H300" t="s">
        <v>62</v>
      </c>
      <c r="I300" s="1">
        <v>20</v>
      </c>
      <c r="J300" s="1" t="str">
        <f t="shared" si="43"/>
        <v xml:space="preserve"> 16-20</v>
      </c>
      <c r="K300" s="1">
        <v>0</v>
      </c>
      <c r="L300" s="1">
        <v>50</v>
      </c>
      <c r="M300" s="1">
        <f t="shared" si="44"/>
        <v>50</v>
      </c>
      <c r="N300" s="1">
        <f t="shared" si="48"/>
        <v>50</v>
      </c>
      <c r="P300" s="4">
        <f>[2]Sheet1!K300</f>
        <v>0.64</v>
      </c>
    </row>
    <row r="301" spans="1:16" x14ac:dyDescent="0.35">
      <c r="A301" t="s">
        <v>351</v>
      </c>
      <c r="B301" t="str">
        <f>TRIM([1]Sheet1!AD301)</f>
        <v>Beth Crane</v>
      </c>
      <c r="C301" t="str">
        <f>IF(UPPER(LEFT([1]Sheet1!W301,1))="F","FEMALE","MALE")</f>
        <v>FEMALE</v>
      </c>
      <c r="E301" t="s">
        <v>21</v>
      </c>
      <c r="F301" t="s">
        <v>21</v>
      </c>
      <c r="G301" t="s">
        <v>22</v>
      </c>
      <c r="H301" t="s">
        <v>12</v>
      </c>
      <c r="I301" s="1">
        <v>6</v>
      </c>
      <c r="J301" s="1" t="str">
        <f t="shared" si="43"/>
        <v>5-10</v>
      </c>
      <c r="K301" s="1">
        <v>3.5</v>
      </c>
      <c r="L301" s="1">
        <v>40</v>
      </c>
      <c r="M301" s="1">
        <f t="shared" si="44"/>
        <v>40</v>
      </c>
      <c r="N301" s="1">
        <f t="shared" si="48"/>
        <v>40</v>
      </c>
      <c r="O301" t="s">
        <v>1053</v>
      </c>
      <c r="P301" s="4">
        <f>[2]Sheet1!K301</f>
        <v>0.76</v>
      </c>
    </row>
    <row r="302" spans="1:16" x14ac:dyDescent="0.35">
      <c r="A302" t="s">
        <v>352</v>
      </c>
      <c r="B302" t="str">
        <f>TRIM([1]Sheet1!AD302)</f>
        <v>Miguel Rogers</v>
      </c>
      <c r="C302" t="str">
        <f>IF(UPPER(LEFT([1]Sheet1!W302,1))="F","FEMALE","MALE")</f>
        <v>MALE</v>
      </c>
      <c r="D302">
        <v>46</v>
      </c>
      <c r="E302" t="s">
        <v>50</v>
      </c>
      <c r="F302" t="s">
        <v>50</v>
      </c>
      <c r="G302" t="s">
        <v>51</v>
      </c>
      <c r="H302" t="s">
        <v>62</v>
      </c>
      <c r="I302" s="1">
        <v>13</v>
      </c>
      <c r="J302" s="1" t="str">
        <f t="shared" si="43"/>
        <v>11-16</v>
      </c>
      <c r="K302" s="1">
        <v>0</v>
      </c>
      <c r="L302" s="2">
        <v>100</v>
      </c>
      <c r="M302" s="1">
        <f t="shared" si="44"/>
        <v>100</v>
      </c>
      <c r="N302" s="1">
        <f t="shared" si="48"/>
        <v>100</v>
      </c>
      <c r="O302" t="s">
        <v>1054</v>
      </c>
      <c r="P302" s="4">
        <f>[2]Sheet1!K302</f>
        <v>0.97</v>
      </c>
    </row>
    <row r="303" spans="1:16" x14ac:dyDescent="0.35">
      <c r="A303" t="s">
        <v>353</v>
      </c>
      <c r="B303" t="str">
        <f>TRIM([1]Sheet1!AD303)</f>
        <v>Thomas Robles</v>
      </c>
      <c r="C303" t="str">
        <f>IF(UPPER(LEFT([1]Sheet1!W303,1))="F","FEMALE","MALE")</f>
        <v>MALE</v>
      </c>
      <c r="D303">
        <v>36</v>
      </c>
      <c r="E303" t="s">
        <v>85</v>
      </c>
      <c r="F303" t="s">
        <v>85</v>
      </c>
      <c r="G303" t="s">
        <v>86</v>
      </c>
      <c r="H303" t="s">
        <v>27</v>
      </c>
      <c r="I303" s="1">
        <v>9</v>
      </c>
      <c r="J303" s="1" t="str">
        <f t="shared" si="43"/>
        <v>5-10</v>
      </c>
      <c r="K303" s="1">
        <v>2.2000000000000002</v>
      </c>
      <c r="L303" s="1">
        <v>75</v>
      </c>
      <c r="M303" s="1">
        <f t="shared" si="44"/>
        <v>75</v>
      </c>
      <c r="N303" s="1">
        <f t="shared" si="48"/>
        <v>75</v>
      </c>
      <c r="O303" t="s">
        <v>1053</v>
      </c>
      <c r="P303" s="4">
        <f>[2]Sheet1!K303</f>
        <v>0.95</v>
      </c>
    </row>
    <row r="304" spans="1:16" x14ac:dyDescent="0.35">
      <c r="A304" t="s">
        <v>354</v>
      </c>
      <c r="B304" t="str">
        <f>TRIM([1]Sheet1!AD304)</f>
        <v>Joel Brown III</v>
      </c>
      <c r="C304" t="str">
        <f>IF(UPPER(LEFT([1]Sheet1!W304,1))="F","FEMALE","MALE")</f>
        <v>MALE</v>
      </c>
      <c r="D304">
        <v>33</v>
      </c>
      <c r="E304" t="s">
        <v>67</v>
      </c>
      <c r="F304" t="s">
        <v>67</v>
      </c>
      <c r="G304" t="s">
        <v>68</v>
      </c>
      <c r="H304" t="s">
        <v>18</v>
      </c>
      <c r="I304" s="1">
        <v>2</v>
      </c>
      <c r="J304" s="1" t="str">
        <f t="shared" si="43"/>
        <v>0-5</v>
      </c>
      <c r="K304" s="1">
        <v>2.5</v>
      </c>
      <c r="L304" s="1">
        <v>75</v>
      </c>
      <c r="M304" s="1">
        <f t="shared" si="44"/>
        <v>75</v>
      </c>
      <c r="N304" s="1">
        <f t="shared" si="48"/>
        <v>75</v>
      </c>
      <c r="O304" t="s">
        <v>1053</v>
      </c>
      <c r="P304" s="4">
        <f>[2]Sheet1!K304</f>
        <v>0.65</v>
      </c>
    </row>
    <row r="305" spans="1:16" x14ac:dyDescent="0.35">
      <c r="A305" t="s">
        <v>355</v>
      </c>
      <c r="B305" t="str">
        <f>TRIM([1]Sheet1!AD305)</f>
        <v>Olivia Schultz</v>
      </c>
      <c r="C305" t="str">
        <f>IF(UPPER(LEFT([1]Sheet1!W305,1))="F","FEMALE","MALE")</f>
        <v>FEMALE</v>
      </c>
      <c r="D305">
        <v>37</v>
      </c>
      <c r="E305" t="s">
        <v>70</v>
      </c>
      <c r="F305" t="s">
        <v>70</v>
      </c>
      <c r="G305" t="s">
        <v>11</v>
      </c>
      <c r="H305" t="s">
        <v>16</v>
      </c>
      <c r="I305" s="1">
        <v>0</v>
      </c>
      <c r="J305" s="1" t="str">
        <f t="shared" si="43"/>
        <v>0-5</v>
      </c>
      <c r="K305" s="1">
        <v>4.7</v>
      </c>
      <c r="L305" s="1" t="s">
        <v>1065</v>
      </c>
      <c r="M305" s="1" t="str">
        <f t="shared" si="44"/>
        <v>USD 50</v>
      </c>
      <c r="N305" s="1">
        <v>50</v>
      </c>
      <c r="O305" t="s">
        <v>1053</v>
      </c>
      <c r="P305" s="4">
        <f>[2]Sheet1!K305</f>
        <v>0.77</v>
      </c>
    </row>
    <row r="306" spans="1:16" x14ac:dyDescent="0.35">
      <c r="A306" t="s">
        <v>356</v>
      </c>
      <c r="B306" t="str">
        <f>TRIM([1]Sheet1!AD306)</f>
        <v>Clayton Pena</v>
      </c>
      <c r="C306" t="str">
        <f>IF(UPPER(LEFT([1]Sheet1!W306,1))="F","FEMALE","MALE")</f>
        <v>MALE</v>
      </c>
      <c r="D306">
        <v>20</v>
      </c>
      <c r="E306" t="s">
        <v>77</v>
      </c>
      <c r="F306" t="s">
        <v>77</v>
      </c>
      <c r="G306" t="s">
        <v>78</v>
      </c>
      <c r="H306" t="s">
        <v>27</v>
      </c>
      <c r="I306" s="1">
        <v>0</v>
      </c>
      <c r="J306" s="1" t="str">
        <f t="shared" si="43"/>
        <v>0-5</v>
      </c>
      <c r="K306" s="1">
        <v>3.9</v>
      </c>
      <c r="L306" s="1">
        <v>20</v>
      </c>
      <c r="M306" s="1">
        <f t="shared" si="44"/>
        <v>20</v>
      </c>
      <c r="N306" s="1">
        <f t="shared" ref="N306:N309" si="49">M306</f>
        <v>20</v>
      </c>
      <c r="O306" t="s">
        <v>1053</v>
      </c>
    </row>
    <row r="307" spans="1:16" x14ac:dyDescent="0.35">
      <c r="A307" t="s">
        <v>357</v>
      </c>
      <c r="B307" t="str">
        <f>TRIM([1]Sheet1!AD307)</f>
        <v>Ashley Salazar</v>
      </c>
      <c r="C307" t="str">
        <f>IF(UPPER(LEFT([1]Sheet1!W307,1))="F","FEMALE","MALE")</f>
        <v>FEMALE</v>
      </c>
      <c r="D307">
        <v>48</v>
      </c>
      <c r="E307" t="s">
        <v>96</v>
      </c>
      <c r="F307" t="s">
        <v>96</v>
      </c>
      <c r="G307" t="s">
        <v>97</v>
      </c>
      <c r="H307" t="s">
        <v>27</v>
      </c>
      <c r="I307" s="1">
        <v>2</v>
      </c>
      <c r="J307" s="1" t="str">
        <f t="shared" si="43"/>
        <v>0-5</v>
      </c>
      <c r="K307" s="1">
        <v>1.6</v>
      </c>
      <c r="L307" s="1">
        <v>75</v>
      </c>
      <c r="M307" s="1">
        <f t="shared" si="44"/>
        <v>75</v>
      </c>
      <c r="N307" s="1">
        <f t="shared" si="49"/>
        <v>75</v>
      </c>
      <c r="O307" t="s">
        <v>1053</v>
      </c>
      <c r="P307" s="4">
        <f>[2]Sheet1!K307</f>
        <v>0.67</v>
      </c>
    </row>
    <row r="308" spans="1:16" x14ac:dyDescent="0.35">
      <c r="A308" t="s">
        <v>358</v>
      </c>
      <c r="B308" t="str">
        <f>TRIM([1]Sheet1!AD308)</f>
        <v>Robert Lucas</v>
      </c>
      <c r="C308" t="str">
        <f>IF(UPPER(LEFT([1]Sheet1!W308,1))="F","FEMALE","MALE")</f>
        <v>MALE</v>
      </c>
      <c r="D308">
        <v>27</v>
      </c>
      <c r="E308" t="s">
        <v>74</v>
      </c>
      <c r="F308" t="s">
        <v>74</v>
      </c>
      <c r="G308" t="s">
        <v>75</v>
      </c>
      <c r="H308" t="s">
        <v>41</v>
      </c>
      <c r="I308" s="1">
        <v>2</v>
      </c>
      <c r="J308" s="1" t="str">
        <f t="shared" si="43"/>
        <v>0-5</v>
      </c>
      <c r="L308" s="2">
        <v>50</v>
      </c>
      <c r="M308" s="1">
        <f t="shared" si="44"/>
        <v>50</v>
      </c>
      <c r="N308" s="1">
        <f t="shared" si="49"/>
        <v>50</v>
      </c>
      <c r="O308" t="s">
        <v>1053</v>
      </c>
      <c r="P308" s="4">
        <f>[2]Sheet1!K308</f>
        <v>0.84</v>
      </c>
    </row>
    <row r="309" spans="1:16" x14ac:dyDescent="0.35">
      <c r="A309" t="s">
        <v>359</v>
      </c>
      <c r="B309" t="str">
        <f>TRIM([1]Sheet1!AD309)</f>
        <v>David Cox</v>
      </c>
      <c r="C309" t="str">
        <f>IF(UPPER(LEFT([1]Sheet1!W309,1))="F","FEMALE","MALE")</f>
        <v>MALE</v>
      </c>
      <c r="D309">
        <v>34</v>
      </c>
      <c r="E309" t="s">
        <v>60</v>
      </c>
      <c r="F309" t="s">
        <v>60</v>
      </c>
      <c r="G309" t="s">
        <v>61</v>
      </c>
      <c r="H309" t="s">
        <v>12</v>
      </c>
      <c r="I309" s="1">
        <v>1</v>
      </c>
      <c r="J309" s="1" t="str">
        <f t="shared" si="43"/>
        <v>0-5</v>
      </c>
      <c r="K309" s="1">
        <v>3.6</v>
      </c>
      <c r="L309" s="1">
        <v>30</v>
      </c>
      <c r="M309" s="1">
        <f t="shared" si="44"/>
        <v>30</v>
      </c>
      <c r="N309" s="1">
        <f t="shared" si="49"/>
        <v>30</v>
      </c>
      <c r="O309" t="s">
        <v>1054</v>
      </c>
      <c r="P309" s="4">
        <f>[2]Sheet1!K309</f>
        <v>0.87</v>
      </c>
    </row>
    <row r="310" spans="1:16" x14ac:dyDescent="0.35">
      <c r="A310" t="s">
        <v>360</v>
      </c>
      <c r="B310" t="str">
        <f>TRIM([1]Sheet1!AD310)</f>
        <v>Christian Campbell</v>
      </c>
      <c r="C310" t="str">
        <f>IF(UPPER(LEFT([1]Sheet1!W310,1))="F","FEMALE","MALE")</f>
        <v>MALE</v>
      </c>
      <c r="D310">
        <v>55</v>
      </c>
      <c r="E310" t="s">
        <v>57</v>
      </c>
      <c r="F310" t="s">
        <v>57</v>
      </c>
      <c r="G310" t="s">
        <v>58</v>
      </c>
      <c r="H310" t="s">
        <v>62</v>
      </c>
      <c r="I310" s="1">
        <v>14</v>
      </c>
      <c r="J310" s="1" t="str">
        <f t="shared" si="43"/>
        <v>11-16</v>
      </c>
      <c r="K310" s="1">
        <v>1.2</v>
      </c>
      <c r="L310" s="1" t="s">
        <v>1066</v>
      </c>
      <c r="M310" s="1" t="str">
        <f t="shared" si="44"/>
        <v>USD 30</v>
      </c>
      <c r="N310" s="1">
        <v>30</v>
      </c>
      <c r="O310" t="s">
        <v>1054</v>
      </c>
      <c r="P310" s="4">
        <f>[2]Sheet1!K310</f>
        <v>0.91</v>
      </c>
    </row>
    <row r="311" spans="1:16" x14ac:dyDescent="0.35">
      <c r="A311" t="s">
        <v>361</v>
      </c>
      <c r="B311" t="str">
        <f>TRIM([1]Sheet1!AD311)</f>
        <v>Angela Ward</v>
      </c>
      <c r="C311" t="str">
        <f>IF(UPPER(LEFT([1]Sheet1!W311,1))="F","FEMALE","MALE")</f>
        <v>FEMALE</v>
      </c>
      <c r="D311">
        <v>44</v>
      </c>
      <c r="E311" t="s">
        <v>85</v>
      </c>
      <c r="F311" t="s">
        <v>85</v>
      </c>
      <c r="G311" t="s">
        <v>86</v>
      </c>
      <c r="H311" t="s">
        <v>62</v>
      </c>
      <c r="I311" s="1">
        <v>14</v>
      </c>
      <c r="J311" s="1" t="str">
        <f t="shared" si="43"/>
        <v>11-16</v>
      </c>
      <c r="K311" s="1">
        <v>3</v>
      </c>
      <c r="L311" s="1" t="s">
        <v>1063</v>
      </c>
      <c r="M311" s="1" t="str">
        <f t="shared" si="44"/>
        <v>USD 75</v>
      </c>
      <c r="N311" s="1">
        <v>75</v>
      </c>
      <c r="O311" t="s">
        <v>1053</v>
      </c>
      <c r="P311" s="4">
        <f>[2]Sheet1!K311</f>
        <v>0.78</v>
      </c>
    </row>
    <row r="312" spans="1:16" x14ac:dyDescent="0.35">
      <c r="A312" t="s">
        <v>362</v>
      </c>
      <c r="B312" t="str">
        <f>TRIM([1]Sheet1!AD312)</f>
        <v>Lucas Chen</v>
      </c>
      <c r="C312" t="str">
        <f>IF(UPPER(LEFT([1]Sheet1!W312,1))="F","FEMALE","MALE")</f>
        <v>MALE</v>
      </c>
      <c r="D312">
        <v>31</v>
      </c>
      <c r="E312" t="s">
        <v>21</v>
      </c>
      <c r="F312" t="s">
        <v>21</v>
      </c>
      <c r="G312" t="s">
        <v>22</v>
      </c>
      <c r="H312" t="s">
        <v>39</v>
      </c>
      <c r="I312" s="1">
        <v>2</v>
      </c>
      <c r="J312" s="1" t="str">
        <f t="shared" si="43"/>
        <v>0-5</v>
      </c>
      <c r="K312" s="1">
        <v>3.9</v>
      </c>
      <c r="L312" s="1">
        <v>50</v>
      </c>
      <c r="M312" s="1">
        <f t="shared" si="44"/>
        <v>50</v>
      </c>
      <c r="N312" s="1">
        <f t="shared" ref="N312:N315" si="50">M312</f>
        <v>50</v>
      </c>
      <c r="O312" t="s">
        <v>1053</v>
      </c>
    </row>
    <row r="313" spans="1:16" x14ac:dyDescent="0.35">
      <c r="A313" t="s">
        <v>363</v>
      </c>
      <c r="B313" t="str">
        <f>TRIM([1]Sheet1!AD313)</f>
        <v>Ruben Nelson</v>
      </c>
      <c r="C313" t="str">
        <f>IF(UPPER(LEFT([1]Sheet1!W313,1))="F","FEMALE","MALE")</f>
        <v>MALE</v>
      </c>
      <c r="D313">
        <v>34</v>
      </c>
      <c r="E313" t="s">
        <v>10</v>
      </c>
      <c r="F313" t="s">
        <v>10</v>
      </c>
      <c r="G313" t="s">
        <v>11</v>
      </c>
      <c r="H313" t="s">
        <v>48</v>
      </c>
      <c r="I313" s="1">
        <v>1</v>
      </c>
      <c r="J313" s="1" t="str">
        <f t="shared" si="43"/>
        <v>0-5</v>
      </c>
      <c r="K313" s="1">
        <v>1.7</v>
      </c>
      <c r="L313" s="1">
        <v>40</v>
      </c>
      <c r="M313" s="1">
        <f t="shared" si="44"/>
        <v>40</v>
      </c>
      <c r="N313" s="1">
        <f t="shared" si="50"/>
        <v>40</v>
      </c>
      <c r="P313" s="3">
        <f>[2]Sheet1!K313/100</f>
        <v>0.74</v>
      </c>
    </row>
    <row r="314" spans="1:16" x14ac:dyDescent="0.35">
      <c r="A314" t="s">
        <v>364</v>
      </c>
      <c r="B314" t="str">
        <f>TRIM([1]Sheet1!AD314)</f>
        <v>Brenda Briggs</v>
      </c>
      <c r="C314" t="str">
        <f>IF(UPPER(LEFT([1]Sheet1!W314,1))="F","FEMALE","MALE")</f>
        <v>FEMALE</v>
      </c>
      <c r="D314">
        <v>47</v>
      </c>
      <c r="E314" t="s">
        <v>57</v>
      </c>
      <c r="F314" t="s">
        <v>57</v>
      </c>
      <c r="G314" t="s">
        <v>58</v>
      </c>
      <c r="H314" t="s">
        <v>48</v>
      </c>
      <c r="I314" s="1">
        <v>13</v>
      </c>
      <c r="J314" s="1" t="str">
        <f t="shared" si="43"/>
        <v>11-16</v>
      </c>
      <c r="K314" s="1">
        <v>4.5</v>
      </c>
      <c r="L314" s="1">
        <v>20</v>
      </c>
      <c r="M314" s="1">
        <f t="shared" si="44"/>
        <v>20</v>
      </c>
      <c r="N314" s="1">
        <f t="shared" si="50"/>
        <v>20</v>
      </c>
      <c r="P314" s="4">
        <f>[2]Sheet1!K314</f>
        <v>0.91</v>
      </c>
    </row>
    <row r="315" spans="1:16" x14ac:dyDescent="0.35">
      <c r="A315" t="s">
        <v>365</v>
      </c>
      <c r="B315" t="str">
        <f>TRIM([1]Sheet1!AD315)</f>
        <v>Ronald Smith</v>
      </c>
      <c r="C315" t="str">
        <f>IF(UPPER(LEFT([1]Sheet1!W315,1))="F","FEMALE","MALE")</f>
        <v>MALE</v>
      </c>
      <c r="D315">
        <v>50</v>
      </c>
      <c r="E315" t="s">
        <v>30</v>
      </c>
      <c r="F315" t="s">
        <v>30</v>
      </c>
      <c r="G315" t="s">
        <v>11</v>
      </c>
      <c r="H315" t="s">
        <v>16</v>
      </c>
      <c r="I315" s="1">
        <v>23</v>
      </c>
      <c r="J315" s="1" t="str">
        <f t="shared" si="43"/>
        <v>21- 25</v>
      </c>
      <c r="K315" s="1">
        <v>3.6</v>
      </c>
      <c r="L315" s="2">
        <v>40</v>
      </c>
      <c r="M315" s="1">
        <f t="shared" si="44"/>
        <v>40</v>
      </c>
      <c r="N315" s="1">
        <f t="shared" si="50"/>
        <v>40</v>
      </c>
      <c r="O315" t="s">
        <v>1054</v>
      </c>
      <c r="P315" s="4">
        <f>[2]Sheet1!K315</f>
        <v>0.71</v>
      </c>
    </row>
    <row r="316" spans="1:16" x14ac:dyDescent="0.35">
      <c r="A316" t="s">
        <v>366</v>
      </c>
      <c r="B316" t="str">
        <f>TRIM([1]Sheet1!AD316)</f>
        <v>Dakota Giles</v>
      </c>
      <c r="C316" t="str">
        <f>IF(UPPER(LEFT([1]Sheet1!W316,1))="F","FEMALE","MALE")</f>
        <v>MALE</v>
      </c>
      <c r="D316">
        <v>39</v>
      </c>
      <c r="E316" t="s">
        <v>14</v>
      </c>
      <c r="F316" t="s">
        <v>14</v>
      </c>
      <c r="G316" t="s">
        <v>15</v>
      </c>
      <c r="H316" t="s">
        <v>41</v>
      </c>
      <c r="J316" s="1" t="str">
        <f t="shared" si="43"/>
        <v>0-5</v>
      </c>
      <c r="K316" s="1">
        <v>3.6</v>
      </c>
      <c r="L316" s="1" t="s">
        <v>1063</v>
      </c>
      <c r="M316" s="1" t="str">
        <f t="shared" si="44"/>
        <v>USD 75</v>
      </c>
      <c r="N316" s="1">
        <v>75</v>
      </c>
      <c r="O316" t="s">
        <v>1054</v>
      </c>
      <c r="P316" s="4">
        <f>[2]Sheet1!K316</f>
        <v>0.87</v>
      </c>
    </row>
    <row r="317" spans="1:16" x14ac:dyDescent="0.35">
      <c r="A317" t="s">
        <v>367</v>
      </c>
      <c r="B317" t="str">
        <f>TRIM([1]Sheet1!AD317)</f>
        <v>Angela Castillo</v>
      </c>
      <c r="C317" t="str">
        <f>IF(UPPER(LEFT([1]Sheet1!W317,1))="F","FEMALE","MALE")</f>
        <v>FEMALE</v>
      </c>
      <c r="D317">
        <v>26</v>
      </c>
      <c r="E317" t="s">
        <v>37</v>
      </c>
      <c r="F317" t="s">
        <v>37</v>
      </c>
      <c r="G317" t="s">
        <v>38</v>
      </c>
      <c r="H317" t="s">
        <v>8</v>
      </c>
      <c r="I317" s="1">
        <v>3</v>
      </c>
      <c r="J317" s="1" t="str">
        <f t="shared" si="43"/>
        <v>0-5</v>
      </c>
      <c r="K317" s="1">
        <v>2.8</v>
      </c>
      <c r="L317" s="1" t="s">
        <v>1062</v>
      </c>
      <c r="M317" s="1" t="str">
        <f t="shared" si="44"/>
        <v>USD 100</v>
      </c>
      <c r="N317" s="1">
        <v>100</v>
      </c>
      <c r="O317" t="s">
        <v>1054</v>
      </c>
      <c r="P317" s="4">
        <f>[2]Sheet1!K317</f>
        <v>0.61</v>
      </c>
    </row>
    <row r="318" spans="1:16" x14ac:dyDescent="0.35">
      <c r="A318" t="s">
        <v>368</v>
      </c>
      <c r="B318" t="str">
        <f>TRIM([1]Sheet1!AD318)</f>
        <v>Allen Lee</v>
      </c>
      <c r="C318" t="str">
        <f>IF(UPPER(LEFT([1]Sheet1!W318,1))="F","FEMALE","MALE")</f>
        <v>MALE</v>
      </c>
      <c r="E318" t="s">
        <v>21</v>
      </c>
      <c r="F318" t="s">
        <v>21</v>
      </c>
      <c r="G318" t="s">
        <v>22</v>
      </c>
      <c r="H318" t="s">
        <v>48</v>
      </c>
      <c r="I318" s="1">
        <v>0</v>
      </c>
      <c r="J318" s="1" t="str">
        <f t="shared" si="43"/>
        <v>0-5</v>
      </c>
      <c r="K318" s="1">
        <v>5</v>
      </c>
      <c r="L318" s="2">
        <v>100</v>
      </c>
      <c r="M318" s="1">
        <f t="shared" si="44"/>
        <v>100</v>
      </c>
      <c r="N318" s="1">
        <f t="shared" ref="N318:N320" si="51">M318</f>
        <v>100</v>
      </c>
      <c r="O318" t="s">
        <v>1053</v>
      </c>
    </row>
    <row r="319" spans="1:16" x14ac:dyDescent="0.35">
      <c r="A319" t="s">
        <v>369</v>
      </c>
      <c r="B319" t="str">
        <f>TRIM([1]Sheet1!AD319)</f>
        <v>Michael Rogers</v>
      </c>
      <c r="C319" t="str">
        <f>IF(UPPER(LEFT([1]Sheet1!W319,1))="F","FEMALE","MALE")</f>
        <v>MALE</v>
      </c>
      <c r="D319">
        <v>32</v>
      </c>
      <c r="E319" t="s">
        <v>14</v>
      </c>
      <c r="F319" t="s">
        <v>14</v>
      </c>
      <c r="G319" t="s">
        <v>15</v>
      </c>
      <c r="H319" t="s">
        <v>16</v>
      </c>
      <c r="I319" s="1">
        <v>0</v>
      </c>
      <c r="J319" s="1" t="str">
        <f t="shared" si="43"/>
        <v>0-5</v>
      </c>
      <c r="K319" s="1">
        <v>1.4</v>
      </c>
      <c r="L319" s="1">
        <v>100</v>
      </c>
      <c r="M319" s="1">
        <f t="shared" si="44"/>
        <v>100</v>
      </c>
      <c r="N319" s="1">
        <f t="shared" si="51"/>
        <v>100</v>
      </c>
      <c r="O319" t="s">
        <v>1054</v>
      </c>
      <c r="P319" s="4">
        <f>[2]Sheet1!K319</f>
        <v>0.81</v>
      </c>
    </row>
    <row r="320" spans="1:16" x14ac:dyDescent="0.35">
      <c r="A320" t="s">
        <v>370</v>
      </c>
      <c r="B320" t="str">
        <f>TRIM([1]Sheet1!AD320)</f>
        <v>Danielle Costa</v>
      </c>
      <c r="C320" t="str">
        <f>IF(UPPER(LEFT([1]Sheet1!W320,1))="F","FEMALE","MALE")</f>
        <v>FEMALE</v>
      </c>
      <c r="D320">
        <v>55</v>
      </c>
      <c r="E320" t="s">
        <v>67</v>
      </c>
      <c r="F320" t="s">
        <v>67</v>
      </c>
      <c r="G320" t="s">
        <v>68</v>
      </c>
      <c r="H320" t="s">
        <v>27</v>
      </c>
      <c r="I320" s="1">
        <v>17</v>
      </c>
      <c r="J320" s="1" t="str">
        <f t="shared" si="43"/>
        <v xml:space="preserve"> 16-20</v>
      </c>
      <c r="L320" s="1">
        <v>30</v>
      </c>
      <c r="M320" s="1">
        <f t="shared" si="44"/>
        <v>30</v>
      </c>
      <c r="N320" s="1">
        <f t="shared" si="51"/>
        <v>30</v>
      </c>
    </row>
    <row r="321" spans="1:16" x14ac:dyDescent="0.35">
      <c r="A321" t="s">
        <v>371</v>
      </c>
      <c r="B321" t="str">
        <f>TRIM([1]Sheet1!AD321)</f>
        <v>William Nunez</v>
      </c>
      <c r="C321" t="str">
        <f>IF(UPPER(LEFT([1]Sheet1!W321,1))="F","FEMALE","MALE")</f>
        <v>MALE</v>
      </c>
      <c r="D321">
        <v>32</v>
      </c>
      <c r="E321" t="s">
        <v>37</v>
      </c>
      <c r="F321" t="s">
        <v>37</v>
      </c>
      <c r="G321" t="s">
        <v>38</v>
      </c>
      <c r="H321" t="s">
        <v>62</v>
      </c>
      <c r="I321" s="1">
        <v>9</v>
      </c>
      <c r="J321" s="1" t="str">
        <f t="shared" si="43"/>
        <v>5-10</v>
      </c>
      <c r="K321" s="1">
        <v>4.5999999999999996</v>
      </c>
      <c r="L321" s="1" t="s">
        <v>1064</v>
      </c>
      <c r="M321" s="1" t="str">
        <f t="shared" si="44"/>
        <v>USD 40</v>
      </c>
      <c r="N321" s="1">
        <v>40</v>
      </c>
      <c r="O321" t="s">
        <v>1054</v>
      </c>
      <c r="P321" s="4">
        <f>[2]Sheet1!K321</f>
        <v>0.84</v>
      </c>
    </row>
    <row r="322" spans="1:16" x14ac:dyDescent="0.35">
      <c r="A322" t="s">
        <v>372</v>
      </c>
      <c r="B322" t="str">
        <f>TRIM([1]Sheet1!AD322)</f>
        <v>Christopher Riggs</v>
      </c>
      <c r="C322" t="str">
        <f>IF(UPPER(LEFT([1]Sheet1!W322,1))="F","FEMALE","MALE")</f>
        <v>MALE</v>
      </c>
      <c r="D322">
        <v>30</v>
      </c>
      <c r="E322" t="s">
        <v>60</v>
      </c>
      <c r="F322" t="s">
        <v>60</v>
      </c>
      <c r="G322" t="s">
        <v>61</v>
      </c>
      <c r="H322" t="s">
        <v>8</v>
      </c>
      <c r="I322" s="1">
        <v>4</v>
      </c>
      <c r="J322" s="1" t="str">
        <f t="shared" ref="J322:J385" si="52">_xlfn.IFS(I322&lt;=5,"0-5",I322&lt;=10,"5-10",I322&lt;=16,"11-16",I322&lt;=20," 16-20",I322&lt;=25,"21- 25",I322&lt;=30,"26-30",I322&gt;30,"31+")</f>
        <v>0-5</v>
      </c>
      <c r="K322" s="1">
        <v>3.3</v>
      </c>
      <c r="L322" s="2">
        <v>20</v>
      </c>
      <c r="M322" s="1">
        <f t="shared" si="44"/>
        <v>20</v>
      </c>
      <c r="N322" s="1">
        <f t="shared" ref="N322:N330" si="53">M322</f>
        <v>20</v>
      </c>
      <c r="O322" t="s">
        <v>1053</v>
      </c>
    </row>
    <row r="323" spans="1:16" x14ac:dyDescent="0.35">
      <c r="A323" t="s">
        <v>373</v>
      </c>
      <c r="B323" t="str">
        <f>TRIM([1]Sheet1!AD323)</f>
        <v>Kathryn Myers</v>
      </c>
      <c r="C323" t="str">
        <f>IF(UPPER(LEFT([1]Sheet1!W323,1))="F","FEMALE","MALE")</f>
        <v>FEMALE</v>
      </c>
      <c r="D323">
        <v>37</v>
      </c>
      <c r="E323" t="s">
        <v>70</v>
      </c>
      <c r="F323" t="s">
        <v>70</v>
      </c>
      <c r="G323" t="s">
        <v>11</v>
      </c>
      <c r="H323" t="s">
        <v>41</v>
      </c>
      <c r="I323" s="1">
        <v>0</v>
      </c>
      <c r="J323" s="1" t="str">
        <f t="shared" si="52"/>
        <v>0-5</v>
      </c>
      <c r="K323" s="1">
        <v>3.7</v>
      </c>
      <c r="L323" s="2">
        <v>40</v>
      </c>
      <c r="M323" s="1">
        <f t="shared" ref="M323:M386" si="54">L323</f>
        <v>40</v>
      </c>
      <c r="N323" s="1">
        <f t="shared" si="53"/>
        <v>40</v>
      </c>
      <c r="O323" t="s">
        <v>1054</v>
      </c>
    </row>
    <row r="324" spans="1:16" x14ac:dyDescent="0.35">
      <c r="A324" t="s">
        <v>374</v>
      </c>
      <c r="B324" t="str">
        <f>TRIM([1]Sheet1!AD324)</f>
        <v>Robert Walls</v>
      </c>
      <c r="C324" t="str">
        <f>IF(UPPER(LEFT([1]Sheet1!W324,1))="F","FEMALE","MALE")</f>
        <v>MALE</v>
      </c>
      <c r="D324">
        <v>52</v>
      </c>
      <c r="E324" t="s">
        <v>57</v>
      </c>
      <c r="F324" t="s">
        <v>57</v>
      </c>
      <c r="G324" t="s">
        <v>58</v>
      </c>
      <c r="H324" t="s">
        <v>16</v>
      </c>
      <c r="I324" s="1">
        <v>33</v>
      </c>
      <c r="J324" s="1" t="str">
        <f t="shared" si="52"/>
        <v>31+</v>
      </c>
      <c r="K324" s="1">
        <v>0</v>
      </c>
      <c r="M324" s="1">
        <f t="shared" si="54"/>
        <v>0</v>
      </c>
      <c r="N324" s="1">
        <f t="shared" si="53"/>
        <v>0</v>
      </c>
      <c r="O324" t="s">
        <v>1054</v>
      </c>
      <c r="P324" s="4">
        <f>[2]Sheet1!K324</f>
        <v>0.6</v>
      </c>
    </row>
    <row r="325" spans="1:16" x14ac:dyDescent="0.35">
      <c r="A325" t="s">
        <v>375</v>
      </c>
      <c r="B325" t="str">
        <f>TRIM([1]Sheet1!AD325)</f>
        <v>Justin Johnson</v>
      </c>
      <c r="C325" t="str">
        <f>IF(UPPER(LEFT([1]Sheet1!W325,1))="F","FEMALE","MALE")</f>
        <v>MALE</v>
      </c>
      <c r="D325">
        <v>48</v>
      </c>
      <c r="E325" t="s">
        <v>50</v>
      </c>
      <c r="F325" t="s">
        <v>50</v>
      </c>
      <c r="G325" t="s">
        <v>51</v>
      </c>
      <c r="H325" t="s">
        <v>41</v>
      </c>
      <c r="I325" s="1">
        <v>18</v>
      </c>
      <c r="J325" s="1" t="str">
        <f t="shared" si="52"/>
        <v xml:space="preserve"> 16-20</v>
      </c>
      <c r="K325" s="1">
        <v>0</v>
      </c>
      <c r="L325" s="1">
        <v>50</v>
      </c>
      <c r="M325" s="1">
        <f t="shared" si="54"/>
        <v>50</v>
      </c>
      <c r="N325" s="1">
        <f t="shared" si="53"/>
        <v>50</v>
      </c>
      <c r="O325" t="s">
        <v>1054</v>
      </c>
      <c r="P325" s="4">
        <f>[2]Sheet1!K325</f>
        <v>0.64</v>
      </c>
    </row>
    <row r="326" spans="1:16" x14ac:dyDescent="0.35">
      <c r="A326" t="s">
        <v>376</v>
      </c>
      <c r="B326" t="str">
        <f>TRIM([1]Sheet1!AD326)</f>
        <v>Paula Stevens</v>
      </c>
      <c r="C326" t="str">
        <f>IF(UPPER(LEFT([1]Sheet1!W326,1))="F","FEMALE","MALE")</f>
        <v>FEMALE</v>
      </c>
      <c r="D326">
        <v>28</v>
      </c>
      <c r="E326" t="s">
        <v>45</v>
      </c>
      <c r="F326" t="s">
        <v>45</v>
      </c>
      <c r="G326" t="s">
        <v>46</v>
      </c>
      <c r="H326" t="s">
        <v>12</v>
      </c>
      <c r="I326" s="1">
        <v>9</v>
      </c>
      <c r="J326" s="1" t="str">
        <f t="shared" si="52"/>
        <v>5-10</v>
      </c>
      <c r="L326" s="1">
        <v>40</v>
      </c>
      <c r="M326" s="1">
        <f t="shared" si="54"/>
        <v>40</v>
      </c>
      <c r="N326" s="1">
        <f t="shared" si="53"/>
        <v>40</v>
      </c>
      <c r="O326" t="s">
        <v>1054</v>
      </c>
      <c r="P326" s="4">
        <f>[2]Sheet1!K326</f>
        <v>0.64</v>
      </c>
    </row>
    <row r="327" spans="1:16" x14ac:dyDescent="0.35">
      <c r="A327" t="s">
        <v>377</v>
      </c>
      <c r="B327" t="str">
        <f>TRIM([1]Sheet1!AD327)</f>
        <v>Jennifer Allen</v>
      </c>
      <c r="C327" t="str">
        <f>IF(UPPER(LEFT([1]Sheet1!W327,1))="F","FEMALE","MALE")</f>
        <v>FEMALE</v>
      </c>
      <c r="D327">
        <v>58</v>
      </c>
      <c r="E327" t="s">
        <v>105</v>
      </c>
      <c r="F327" t="s">
        <v>105</v>
      </c>
      <c r="G327" t="s">
        <v>38</v>
      </c>
      <c r="H327" t="s">
        <v>27</v>
      </c>
      <c r="I327" s="1">
        <v>40</v>
      </c>
      <c r="J327" s="1" t="str">
        <f t="shared" si="52"/>
        <v>31+</v>
      </c>
      <c r="K327" s="1">
        <v>3.4</v>
      </c>
      <c r="L327" s="1">
        <v>75</v>
      </c>
      <c r="M327" s="1">
        <f t="shared" si="54"/>
        <v>75</v>
      </c>
      <c r="N327" s="1">
        <f t="shared" si="53"/>
        <v>75</v>
      </c>
      <c r="O327" t="s">
        <v>1054</v>
      </c>
      <c r="P327" s="4">
        <f>[2]Sheet1!K327</f>
        <v>1</v>
      </c>
    </row>
    <row r="328" spans="1:16" x14ac:dyDescent="0.35">
      <c r="A328" t="s">
        <v>378</v>
      </c>
      <c r="B328" t="str">
        <f>TRIM([1]Sheet1!AD328)</f>
        <v>Mark Hudson</v>
      </c>
      <c r="C328" t="str">
        <f>IF(UPPER(LEFT([1]Sheet1!W328,1))="F","FEMALE","MALE")</f>
        <v>MALE</v>
      </c>
      <c r="D328">
        <v>30</v>
      </c>
      <c r="E328" t="s">
        <v>37</v>
      </c>
      <c r="F328" t="s">
        <v>37</v>
      </c>
      <c r="G328" t="s">
        <v>38</v>
      </c>
      <c r="H328" t="s">
        <v>18</v>
      </c>
      <c r="I328" s="1">
        <v>1</v>
      </c>
      <c r="J328" s="1" t="str">
        <f t="shared" si="52"/>
        <v>0-5</v>
      </c>
      <c r="K328" s="1">
        <v>1.6</v>
      </c>
      <c r="L328" s="1">
        <v>40</v>
      </c>
      <c r="M328" s="1">
        <f t="shared" si="54"/>
        <v>40</v>
      </c>
      <c r="N328" s="1">
        <f t="shared" si="53"/>
        <v>40</v>
      </c>
      <c r="O328" t="s">
        <v>1054</v>
      </c>
      <c r="P328" s="3">
        <f>[2]Sheet1!K328/100</f>
        <v>1</v>
      </c>
    </row>
    <row r="329" spans="1:16" x14ac:dyDescent="0.35">
      <c r="A329" t="s">
        <v>379</v>
      </c>
      <c r="B329" t="str">
        <f>TRIM([1]Sheet1!AD329)</f>
        <v>Jessica Smith</v>
      </c>
      <c r="C329" t="str">
        <f>IF(UPPER(LEFT([1]Sheet1!W329,1))="F","FEMALE","MALE")</f>
        <v>FEMALE</v>
      </c>
      <c r="D329">
        <v>47</v>
      </c>
      <c r="E329" t="s">
        <v>96</v>
      </c>
      <c r="F329" t="s">
        <v>96</v>
      </c>
      <c r="G329" t="s">
        <v>97</v>
      </c>
      <c r="H329" t="s">
        <v>12</v>
      </c>
      <c r="I329" s="1">
        <v>5</v>
      </c>
      <c r="J329" s="1" t="str">
        <f t="shared" si="52"/>
        <v>0-5</v>
      </c>
      <c r="K329" s="1">
        <v>1.9</v>
      </c>
      <c r="L329" s="1">
        <v>20</v>
      </c>
      <c r="M329" s="1">
        <f t="shared" si="54"/>
        <v>20</v>
      </c>
      <c r="N329" s="1">
        <f t="shared" si="53"/>
        <v>20</v>
      </c>
      <c r="O329" t="s">
        <v>1053</v>
      </c>
    </row>
    <row r="330" spans="1:16" x14ac:dyDescent="0.35">
      <c r="A330" t="s">
        <v>380</v>
      </c>
      <c r="B330" t="str">
        <f>TRIM([1]Sheet1!AD330)</f>
        <v>Mike Dean</v>
      </c>
      <c r="C330" t="str">
        <f>IF(UPPER(LEFT([1]Sheet1!W330,1))="F","FEMALE","MALE")</f>
        <v>MALE</v>
      </c>
      <c r="D330">
        <v>44</v>
      </c>
      <c r="E330" t="s">
        <v>37</v>
      </c>
      <c r="F330" t="s">
        <v>37</v>
      </c>
      <c r="G330" t="s">
        <v>38</v>
      </c>
      <c r="H330" t="s">
        <v>23</v>
      </c>
      <c r="I330" s="1">
        <v>4</v>
      </c>
      <c r="J330" s="1" t="str">
        <f t="shared" si="52"/>
        <v>0-5</v>
      </c>
      <c r="K330" s="1">
        <v>0</v>
      </c>
      <c r="L330" s="2">
        <v>50</v>
      </c>
      <c r="M330" s="1">
        <f t="shared" si="54"/>
        <v>50</v>
      </c>
      <c r="N330" s="1">
        <f t="shared" si="53"/>
        <v>50</v>
      </c>
      <c r="O330" t="s">
        <v>1054</v>
      </c>
      <c r="P330" s="4">
        <f>[2]Sheet1!K330</f>
        <v>0.83</v>
      </c>
    </row>
    <row r="331" spans="1:16" x14ac:dyDescent="0.35">
      <c r="A331" t="s">
        <v>381</v>
      </c>
      <c r="B331" t="str">
        <f>TRIM([1]Sheet1!AD331)</f>
        <v>Jose Wilson</v>
      </c>
      <c r="C331" t="str">
        <f>IF(UPPER(LEFT([1]Sheet1!W331,1))="F","FEMALE","MALE")</f>
        <v>MALE</v>
      </c>
      <c r="D331">
        <v>56</v>
      </c>
      <c r="E331" t="s">
        <v>6</v>
      </c>
      <c r="F331" t="s">
        <v>6</v>
      </c>
      <c r="G331" t="s">
        <v>7</v>
      </c>
      <c r="H331" t="s">
        <v>62</v>
      </c>
      <c r="I331" s="1">
        <v>13</v>
      </c>
      <c r="J331" s="1" t="str">
        <f t="shared" si="52"/>
        <v>11-16</v>
      </c>
      <c r="L331" s="1" t="s">
        <v>1064</v>
      </c>
      <c r="M331" s="1" t="str">
        <f t="shared" si="54"/>
        <v>USD 40</v>
      </c>
      <c r="N331" s="1">
        <v>40</v>
      </c>
      <c r="O331" t="s">
        <v>1054</v>
      </c>
      <c r="P331" s="4">
        <f>[2]Sheet1!K331</f>
        <v>0.87</v>
      </c>
    </row>
    <row r="332" spans="1:16" x14ac:dyDescent="0.35">
      <c r="A332" t="s">
        <v>382</v>
      </c>
      <c r="B332" t="str">
        <f>TRIM([1]Sheet1!AD332)</f>
        <v>Tammy Hill</v>
      </c>
      <c r="C332" t="str">
        <f>IF(UPPER(LEFT([1]Sheet1!W332,1))="F","FEMALE","MALE")</f>
        <v>FEMALE</v>
      </c>
      <c r="D332">
        <v>53</v>
      </c>
      <c r="E332" t="s">
        <v>30</v>
      </c>
      <c r="F332" t="s">
        <v>30</v>
      </c>
      <c r="G332" t="s">
        <v>11</v>
      </c>
      <c r="H332" t="s">
        <v>12</v>
      </c>
      <c r="I332" s="1">
        <v>33</v>
      </c>
      <c r="J332" s="1" t="str">
        <f t="shared" si="52"/>
        <v>31+</v>
      </c>
      <c r="L332" s="2">
        <v>100</v>
      </c>
      <c r="M332" s="1">
        <f t="shared" si="54"/>
        <v>100</v>
      </c>
      <c r="N332" s="1">
        <f t="shared" ref="N332:N334" si="55">M332</f>
        <v>100</v>
      </c>
      <c r="O332" t="s">
        <v>1053</v>
      </c>
      <c r="P332" s="4">
        <f>[2]Sheet1!K332</f>
        <v>0.75</v>
      </c>
    </row>
    <row r="333" spans="1:16" x14ac:dyDescent="0.35">
      <c r="A333" t="s">
        <v>383</v>
      </c>
      <c r="B333" t="str">
        <f>TRIM([1]Sheet1!AD333)</f>
        <v>Nathaniel Flores</v>
      </c>
      <c r="C333" t="str">
        <f>IF(UPPER(LEFT([1]Sheet1!W333,1))="F","FEMALE","MALE")</f>
        <v>MALE</v>
      </c>
      <c r="D333">
        <v>59</v>
      </c>
      <c r="E333" t="s">
        <v>35</v>
      </c>
      <c r="F333" t="s">
        <v>35</v>
      </c>
      <c r="G333" t="s">
        <v>11</v>
      </c>
      <c r="H333" t="s">
        <v>12</v>
      </c>
      <c r="I333" s="1">
        <v>22</v>
      </c>
      <c r="J333" s="1" t="str">
        <f t="shared" si="52"/>
        <v>21- 25</v>
      </c>
      <c r="K333" s="1">
        <v>1.1000000000000001</v>
      </c>
      <c r="L333" s="1">
        <v>40</v>
      </c>
      <c r="M333" s="1">
        <f t="shared" si="54"/>
        <v>40</v>
      </c>
      <c r="N333" s="1">
        <f t="shared" si="55"/>
        <v>40</v>
      </c>
      <c r="O333" t="s">
        <v>1054</v>
      </c>
      <c r="P333" s="4">
        <f>[2]Sheet1!K333</f>
        <v>0.61</v>
      </c>
    </row>
    <row r="334" spans="1:16" x14ac:dyDescent="0.35">
      <c r="A334" t="s">
        <v>384</v>
      </c>
      <c r="B334" t="str">
        <f>TRIM([1]Sheet1!AD334)</f>
        <v>Edwin Carter</v>
      </c>
      <c r="C334" t="str">
        <f>IF(UPPER(LEFT([1]Sheet1!W334,1))="F","FEMALE","MALE")</f>
        <v>MALE</v>
      </c>
      <c r="D334">
        <v>60</v>
      </c>
      <c r="E334" t="s">
        <v>30</v>
      </c>
      <c r="F334" t="s">
        <v>30</v>
      </c>
      <c r="G334" t="s">
        <v>11</v>
      </c>
      <c r="H334" t="s">
        <v>48</v>
      </c>
      <c r="I334" s="1">
        <v>34</v>
      </c>
      <c r="J334" s="1" t="str">
        <f t="shared" si="52"/>
        <v>31+</v>
      </c>
      <c r="K334" s="1">
        <v>2.5</v>
      </c>
      <c r="M334" s="1">
        <f t="shared" si="54"/>
        <v>0</v>
      </c>
      <c r="N334" s="1">
        <f t="shared" si="55"/>
        <v>0</v>
      </c>
      <c r="O334" t="s">
        <v>1053</v>
      </c>
      <c r="P334" s="4">
        <f>[2]Sheet1!K334</f>
        <v>0.93</v>
      </c>
    </row>
    <row r="335" spans="1:16" x14ac:dyDescent="0.35">
      <c r="A335" t="s">
        <v>385</v>
      </c>
      <c r="B335" t="str">
        <f>TRIM([1]Sheet1!AD335)</f>
        <v>Patricia Miller</v>
      </c>
      <c r="C335" t="str">
        <f>IF(UPPER(LEFT([1]Sheet1!W335,1))="F","FEMALE","MALE")</f>
        <v>FEMALE</v>
      </c>
      <c r="D335">
        <v>33</v>
      </c>
      <c r="E335" t="s">
        <v>14</v>
      </c>
      <c r="F335" t="s">
        <v>14</v>
      </c>
      <c r="G335" t="s">
        <v>15</v>
      </c>
      <c r="H335" t="s">
        <v>12</v>
      </c>
      <c r="I335" s="1">
        <v>8</v>
      </c>
      <c r="J335" s="1" t="str">
        <f t="shared" si="52"/>
        <v>5-10</v>
      </c>
      <c r="K335" s="1">
        <v>3.6</v>
      </c>
      <c r="L335" s="1" t="s">
        <v>1066</v>
      </c>
      <c r="M335" s="1" t="str">
        <f t="shared" si="54"/>
        <v>USD 30</v>
      </c>
      <c r="N335" s="1">
        <v>30</v>
      </c>
      <c r="O335" t="s">
        <v>1054</v>
      </c>
    </row>
    <row r="336" spans="1:16" x14ac:dyDescent="0.35">
      <c r="A336" t="s">
        <v>386</v>
      </c>
      <c r="B336" t="str">
        <f>TRIM([1]Sheet1!AD336)</f>
        <v>Rebecca Schneider</v>
      </c>
      <c r="C336" t="str">
        <f>IF(UPPER(LEFT([1]Sheet1!W336,1))="F","FEMALE","MALE")</f>
        <v>FEMALE</v>
      </c>
      <c r="D336">
        <v>21</v>
      </c>
      <c r="E336" t="s">
        <v>37</v>
      </c>
      <c r="F336" t="s">
        <v>37</v>
      </c>
      <c r="G336" t="s">
        <v>38</v>
      </c>
      <c r="H336" t="s">
        <v>18</v>
      </c>
      <c r="I336" s="1">
        <v>1</v>
      </c>
      <c r="J336" s="1" t="str">
        <f t="shared" si="52"/>
        <v>0-5</v>
      </c>
      <c r="L336" s="1" t="s">
        <v>1067</v>
      </c>
      <c r="M336" s="1" t="str">
        <f t="shared" si="54"/>
        <v>USD 20</v>
      </c>
      <c r="N336" s="1">
        <v>20</v>
      </c>
      <c r="O336" t="s">
        <v>1053</v>
      </c>
      <c r="P336" s="4">
        <f>[2]Sheet1!K336</f>
        <v>0.99</v>
      </c>
    </row>
    <row r="337" spans="1:16" x14ac:dyDescent="0.35">
      <c r="A337" t="s">
        <v>387</v>
      </c>
      <c r="B337" t="str">
        <f>TRIM([1]Sheet1!AD337)</f>
        <v>John Greene</v>
      </c>
      <c r="C337" t="str">
        <f>IF(UPPER(LEFT([1]Sheet1!W337,1))="F","FEMALE","MALE")</f>
        <v>MALE</v>
      </c>
      <c r="D337">
        <v>54</v>
      </c>
      <c r="E337" t="s">
        <v>35</v>
      </c>
      <c r="F337" t="s">
        <v>35</v>
      </c>
      <c r="G337" t="s">
        <v>11</v>
      </c>
      <c r="H337" t="s">
        <v>39</v>
      </c>
      <c r="I337" s="1">
        <v>20</v>
      </c>
      <c r="J337" s="1" t="str">
        <f t="shared" si="52"/>
        <v xml:space="preserve"> 16-20</v>
      </c>
      <c r="K337" s="1">
        <v>4.4000000000000004</v>
      </c>
      <c r="L337" s="1">
        <v>50</v>
      </c>
      <c r="M337" s="1">
        <f t="shared" si="54"/>
        <v>50</v>
      </c>
      <c r="N337" s="1">
        <f t="shared" ref="N337:N340" si="56">M337</f>
        <v>50</v>
      </c>
      <c r="O337" t="s">
        <v>1053</v>
      </c>
      <c r="P337" s="3">
        <f>[2]Sheet1!K337/100</f>
        <v>0.73</v>
      </c>
    </row>
    <row r="338" spans="1:16" x14ac:dyDescent="0.35">
      <c r="A338" t="s">
        <v>388</v>
      </c>
      <c r="B338" t="str">
        <f>TRIM([1]Sheet1!AD338)</f>
        <v>Brittany Mcdowell</v>
      </c>
      <c r="C338" t="str">
        <f>IF(UPPER(LEFT([1]Sheet1!W338,1))="F","FEMALE","MALE")</f>
        <v>FEMALE</v>
      </c>
      <c r="D338">
        <v>33</v>
      </c>
      <c r="E338" t="s">
        <v>30</v>
      </c>
      <c r="F338" t="s">
        <v>30</v>
      </c>
      <c r="G338" t="s">
        <v>11</v>
      </c>
      <c r="H338" t="s">
        <v>16</v>
      </c>
      <c r="I338" s="1">
        <v>11</v>
      </c>
      <c r="J338" s="1" t="str">
        <f t="shared" si="52"/>
        <v>11-16</v>
      </c>
      <c r="K338" s="1">
        <v>2.1</v>
      </c>
      <c r="L338" s="1">
        <v>75</v>
      </c>
      <c r="M338" s="1">
        <f t="shared" si="54"/>
        <v>75</v>
      </c>
      <c r="N338" s="1">
        <f t="shared" si="56"/>
        <v>75</v>
      </c>
      <c r="O338" t="s">
        <v>1053</v>
      </c>
      <c r="P338" s="4">
        <f>[2]Sheet1!K338</f>
        <v>0.96</v>
      </c>
    </row>
    <row r="339" spans="1:16" x14ac:dyDescent="0.35">
      <c r="A339" t="s">
        <v>389</v>
      </c>
      <c r="B339" t="str">
        <f>TRIM([1]Sheet1!AD339)</f>
        <v>Lori Miller</v>
      </c>
      <c r="C339" t="str">
        <f>IF(UPPER(LEFT([1]Sheet1!W339,1))="F","FEMALE","MALE")</f>
        <v>FEMALE</v>
      </c>
      <c r="D339">
        <v>57</v>
      </c>
      <c r="E339" t="s">
        <v>32</v>
      </c>
      <c r="F339" t="s">
        <v>32</v>
      </c>
      <c r="G339" t="s">
        <v>33</v>
      </c>
      <c r="H339" t="s">
        <v>27</v>
      </c>
      <c r="I339" s="1">
        <v>2</v>
      </c>
      <c r="J339" s="1" t="str">
        <f t="shared" si="52"/>
        <v>0-5</v>
      </c>
      <c r="K339" s="1">
        <v>0</v>
      </c>
      <c r="L339" s="1">
        <v>40</v>
      </c>
      <c r="M339" s="1">
        <f t="shared" si="54"/>
        <v>40</v>
      </c>
      <c r="N339" s="1">
        <f t="shared" si="56"/>
        <v>40</v>
      </c>
      <c r="O339" t="s">
        <v>1053</v>
      </c>
      <c r="P339" s="4">
        <f>[2]Sheet1!K339</f>
        <v>0.6</v>
      </c>
    </row>
    <row r="340" spans="1:16" x14ac:dyDescent="0.35">
      <c r="A340" t="s">
        <v>390</v>
      </c>
      <c r="B340" t="str">
        <f>TRIM([1]Sheet1!AD340)</f>
        <v>Joseph Robinson</v>
      </c>
      <c r="C340" t="str">
        <f>IF(UPPER(LEFT([1]Sheet1!W340,1))="F","FEMALE","MALE")</f>
        <v>MALE</v>
      </c>
      <c r="D340">
        <v>36</v>
      </c>
      <c r="E340" t="s">
        <v>60</v>
      </c>
      <c r="F340" t="s">
        <v>60</v>
      </c>
      <c r="G340" t="s">
        <v>61</v>
      </c>
      <c r="H340" t="s">
        <v>16</v>
      </c>
      <c r="I340" s="1">
        <v>6</v>
      </c>
      <c r="J340" s="1" t="str">
        <f t="shared" si="52"/>
        <v>5-10</v>
      </c>
      <c r="K340" s="1">
        <v>1</v>
      </c>
      <c r="L340" s="1">
        <v>20</v>
      </c>
      <c r="M340" s="1">
        <f t="shared" si="54"/>
        <v>20</v>
      </c>
      <c r="N340" s="1">
        <f t="shared" si="56"/>
        <v>20</v>
      </c>
      <c r="O340" t="s">
        <v>1054</v>
      </c>
      <c r="P340" s="4">
        <f>[2]Sheet1!K340</f>
        <v>0.64</v>
      </c>
    </row>
    <row r="341" spans="1:16" x14ac:dyDescent="0.35">
      <c r="A341" t="s">
        <v>391</v>
      </c>
      <c r="B341" t="str">
        <f>TRIM([1]Sheet1!AD341)</f>
        <v>Aaron Pruitt</v>
      </c>
      <c r="C341" t="str">
        <f>IF(UPPER(LEFT([1]Sheet1!W341,1))="F","FEMALE","MALE")</f>
        <v>MALE</v>
      </c>
      <c r="D341">
        <v>50</v>
      </c>
      <c r="E341" t="s">
        <v>14</v>
      </c>
      <c r="F341" t="s">
        <v>14</v>
      </c>
      <c r="G341" t="s">
        <v>15</v>
      </c>
      <c r="H341" t="s">
        <v>8</v>
      </c>
      <c r="I341" s="1">
        <v>20</v>
      </c>
      <c r="J341" s="1" t="str">
        <f t="shared" si="52"/>
        <v xml:space="preserve"> 16-20</v>
      </c>
      <c r="K341" s="1">
        <v>0</v>
      </c>
      <c r="L341" s="1" t="s">
        <v>1066</v>
      </c>
      <c r="M341" s="1" t="str">
        <f t="shared" si="54"/>
        <v>USD 30</v>
      </c>
      <c r="N341" s="1">
        <v>30</v>
      </c>
      <c r="O341" t="s">
        <v>1053</v>
      </c>
    </row>
    <row r="342" spans="1:16" x14ac:dyDescent="0.35">
      <c r="A342" t="s">
        <v>392</v>
      </c>
      <c r="B342" t="str">
        <f>TRIM([1]Sheet1!AD342)</f>
        <v>Victoria Miller</v>
      </c>
      <c r="C342" t="str">
        <f>IF(UPPER(LEFT([1]Sheet1!W342,1))="F","FEMALE","MALE")</f>
        <v>FEMALE</v>
      </c>
      <c r="D342">
        <v>37</v>
      </c>
      <c r="E342" t="s">
        <v>70</v>
      </c>
      <c r="F342" t="s">
        <v>70</v>
      </c>
      <c r="G342" t="s">
        <v>11</v>
      </c>
      <c r="H342" t="s">
        <v>48</v>
      </c>
      <c r="J342" s="1" t="str">
        <f t="shared" si="52"/>
        <v>0-5</v>
      </c>
      <c r="K342" s="1">
        <v>4.9000000000000004</v>
      </c>
      <c r="L342" s="1" t="s">
        <v>1067</v>
      </c>
      <c r="M342" s="1" t="str">
        <f t="shared" si="54"/>
        <v>USD 20</v>
      </c>
      <c r="N342" s="1">
        <v>20</v>
      </c>
      <c r="O342" t="s">
        <v>1053</v>
      </c>
    </row>
    <row r="343" spans="1:16" x14ac:dyDescent="0.35">
      <c r="A343" t="s">
        <v>393</v>
      </c>
      <c r="B343" t="str">
        <f>TRIM([1]Sheet1!AD343)</f>
        <v>Clarence Vega</v>
      </c>
      <c r="C343" t="str">
        <f>IF(UPPER(LEFT([1]Sheet1!W343,1))="F","FEMALE","MALE")</f>
        <v>MALE</v>
      </c>
      <c r="D343">
        <v>53</v>
      </c>
      <c r="E343" t="s">
        <v>6</v>
      </c>
      <c r="F343" t="s">
        <v>6</v>
      </c>
      <c r="G343" t="s">
        <v>7</v>
      </c>
      <c r="H343" t="s">
        <v>23</v>
      </c>
      <c r="I343" s="1">
        <v>4</v>
      </c>
      <c r="J343" s="1" t="str">
        <f t="shared" si="52"/>
        <v>0-5</v>
      </c>
      <c r="K343" s="1">
        <v>4.7</v>
      </c>
      <c r="L343" s="1">
        <v>30</v>
      </c>
      <c r="M343" s="1">
        <f t="shared" si="54"/>
        <v>30</v>
      </c>
      <c r="N343" s="1">
        <f>M343</f>
        <v>30</v>
      </c>
      <c r="O343" t="s">
        <v>1053</v>
      </c>
      <c r="P343" s="4">
        <f>[2]Sheet1!K343</f>
        <v>0.99</v>
      </c>
    </row>
    <row r="344" spans="1:16" x14ac:dyDescent="0.35">
      <c r="A344" t="s">
        <v>394</v>
      </c>
      <c r="B344" t="str">
        <f>TRIM([1]Sheet1!AD344)</f>
        <v>Deborah Day</v>
      </c>
      <c r="C344" t="str">
        <f>IF(UPPER(LEFT([1]Sheet1!W344,1))="F","FEMALE","MALE")</f>
        <v>FEMALE</v>
      </c>
      <c r="D344">
        <v>22</v>
      </c>
      <c r="E344" t="s">
        <v>6</v>
      </c>
      <c r="F344" t="s">
        <v>6</v>
      </c>
      <c r="G344" t="s">
        <v>7</v>
      </c>
      <c r="H344" t="s">
        <v>8</v>
      </c>
      <c r="I344" s="1">
        <v>3</v>
      </c>
      <c r="J344" s="1" t="str">
        <f t="shared" si="52"/>
        <v>0-5</v>
      </c>
      <c r="K344" s="1">
        <v>2.1</v>
      </c>
      <c r="L344" s="1" t="s">
        <v>1064</v>
      </c>
      <c r="M344" s="1" t="str">
        <f t="shared" si="54"/>
        <v>USD 40</v>
      </c>
      <c r="N344" s="1">
        <v>40</v>
      </c>
      <c r="O344" t="s">
        <v>1053</v>
      </c>
    </row>
    <row r="345" spans="1:16" x14ac:dyDescent="0.35">
      <c r="A345" t="s">
        <v>395</v>
      </c>
      <c r="B345" t="str">
        <f>TRIM([1]Sheet1!AD345)</f>
        <v>Nicole Rocha</v>
      </c>
      <c r="C345" t="str">
        <f>IF(UPPER(LEFT([1]Sheet1!W345,1))="F","FEMALE","MALE")</f>
        <v>FEMALE</v>
      </c>
      <c r="D345">
        <v>55</v>
      </c>
      <c r="E345" t="s">
        <v>21</v>
      </c>
      <c r="F345" t="s">
        <v>21</v>
      </c>
      <c r="G345" t="s">
        <v>22</v>
      </c>
      <c r="H345" t="s">
        <v>12</v>
      </c>
      <c r="I345" s="1">
        <v>33</v>
      </c>
      <c r="J345" s="1" t="str">
        <f t="shared" si="52"/>
        <v>31+</v>
      </c>
      <c r="K345" s="1">
        <v>1.5</v>
      </c>
      <c r="L345" s="1">
        <v>40</v>
      </c>
      <c r="M345" s="1">
        <f t="shared" si="54"/>
        <v>40</v>
      </c>
      <c r="N345" s="1">
        <f t="shared" ref="N345:N346" si="57">M345</f>
        <v>40</v>
      </c>
      <c r="O345" t="s">
        <v>1054</v>
      </c>
      <c r="P345" s="4">
        <f>[2]Sheet1!K345</f>
        <v>0.71</v>
      </c>
    </row>
    <row r="346" spans="1:16" x14ac:dyDescent="0.35">
      <c r="A346" t="s">
        <v>396</v>
      </c>
      <c r="B346" t="str">
        <f>TRIM([1]Sheet1!AD346)</f>
        <v>Elijah Green</v>
      </c>
      <c r="C346" t="str">
        <f>IF(UPPER(LEFT([1]Sheet1!W346,1))="F","FEMALE","MALE")</f>
        <v>MALE</v>
      </c>
      <c r="D346">
        <v>22</v>
      </c>
      <c r="E346" t="s">
        <v>10</v>
      </c>
      <c r="F346" t="s">
        <v>10</v>
      </c>
      <c r="G346" t="s">
        <v>11</v>
      </c>
      <c r="H346" t="s">
        <v>41</v>
      </c>
      <c r="I346" s="1">
        <v>1</v>
      </c>
      <c r="J346" s="1" t="str">
        <f t="shared" si="52"/>
        <v>0-5</v>
      </c>
      <c r="K346" s="1">
        <v>2.6</v>
      </c>
      <c r="M346" s="1">
        <f t="shared" si="54"/>
        <v>0</v>
      </c>
      <c r="N346" s="1">
        <f t="shared" si="57"/>
        <v>0</v>
      </c>
      <c r="O346" t="s">
        <v>1053</v>
      </c>
      <c r="P346" s="4">
        <f>[2]Sheet1!K346</f>
        <v>0.72</v>
      </c>
    </row>
    <row r="347" spans="1:16" x14ac:dyDescent="0.35">
      <c r="A347" t="s">
        <v>397</v>
      </c>
      <c r="B347" t="str">
        <f>TRIM([1]Sheet1!AD347)</f>
        <v>Emily Johnson</v>
      </c>
      <c r="C347" t="str">
        <f>IF(UPPER(LEFT([1]Sheet1!W347,1))="F","FEMALE","MALE")</f>
        <v>FEMALE</v>
      </c>
      <c r="D347">
        <v>45</v>
      </c>
      <c r="E347" t="s">
        <v>32</v>
      </c>
      <c r="F347" t="s">
        <v>32</v>
      </c>
      <c r="G347" t="s">
        <v>33</v>
      </c>
      <c r="H347" t="s">
        <v>18</v>
      </c>
      <c r="I347" s="1">
        <v>23</v>
      </c>
      <c r="J347" s="1" t="str">
        <f t="shared" si="52"/>
        <v>21- 25</v>
      </c>
      <c r="K347" s="1">
        <v>0</v>
      </c>
      <c r="L347" s="1" t="s">
        <v>1065</v>
      </c>
      <c r="M347" s="1" t="str">
        <f t="shared" si="54"/>
        <v>USD 50</v>
      </c>
      <c r="N347" s="1">
        <v>50</v>
      </c>
      <c r="O347" t="s">
        <v>1053</v>
      </c>
      <c r="P347" s="4">
        <f>[2]Sheet1!K347</f>
        <v>0.66</v>
      </c>
    </row>
    <row r="348" spans="1:16" x14ac:dyDescent="0.35">
      <c r="A348" t="s">
        <v>398</v>
      </c>
      <c r="B348" t="str">
        <f>TRIM([1]Sheet1!AD348)</f>
        <v>Richard Velasquez</v>
      </c>
      <c r="C348" t="str">
        <f>IF(UPPER(LEFT([1]Sheet1!W348,1))="F","FEMALE","MALE")</f>
        <v>MALE</v>
      </c>
      <c r="D348">
        <v>36</v>
      </c>
      <c r="E348" t="s">
        <v>74</v>
      </c>
      <c r="F348" t="s">
        <v>74</v>
      </c>
      <c r="G348" t="s">
        <v>75</v>
      </c>
      <c r="H348" t="s">
        <v>27</v>
      </c>
      <c r="I348" s="1">
        <v>13</v>
      </c>
      <c r="J348" s="1" t="str">
        <f t="shared" si="52"/>
        <v>11-16</v>
      </c>
      <c r="L348" s="1">
        <v>40</v>
      </c>
      <c r="M348" s="1">
        <f t="shared" si="54"/>
        <v>40</v>
      </c>
      <c r="N348" s="1">
        <f>M348</f>
        <v>40</v>
      </c>
      <c r="O348" t="s">
        <v>1053</v>
      </c>
      <c r="P348" s="4">
        <f>[2]Sheet1!K348</f>
        <v>0.78</v>
      </c>
    </row>
    <row r="349" spans="1:16" x14ac:dyDescent="0.35">
      <c r="A349" t="s">
        <v>399</v>
      </c>
      <c r="B349" t="str">
        <f>TRIM([1]Sheet1!AD349)</f>
        <v>Kurt Wilson</v>
      </c>
      <c r="C349" t="str">
        <f>IF(UPPER(LEFT([1]Sheet1!W349,1))="F","FEMALE","MALE")</f>
        <v>MALE</v>
      </c>
      <c r="D349">
        <v>23</v>
      </c>
      <c r="E349" t="s">
        <v>10</v>
      </c>
      <c r="F349" t="s">
        <v>10</v>
      </c>
      <c r="G349" t="s">
        <v>11</v>
      </c>
      <c r="H349" t="s">
        <v>48</v>
      </c>
      <c r="I349" s="1">
        <v>1</v>
      </c>
      <c r="J349" s="1" t="str">
        <f t="shared" si="52"/>
        <v>0-5</v>
      </c>
      <c r="K349" s="1">
        <v>4</v>
      </c>
      <c r="L349" s="1" t="s">
        <v>1067</v>
      </c>
      <c r="M349" s="1" t="str">
        <f t="shared" si="54"/>
        <v>USD 20</v>
      </c>
      <c r="N349" s="1">
        <v>20</v>
      </c>
      <c r="O349" t="s">
        <v>1054</v>
      </c>
      <c r="P349" s="3">
        <f>[2]Sheet1!K349/100</f>
        <v>1</v>
      </c>
    </row>
    <row r="350" spans="1:16" x14ac:dyDescent="0.35">
      <c r="A350" t="s">
        <v>400</v>
      </c>
      <c r="B350" t="str">
        <f>TRIM([1]Sheet1!AD350)</f>
        <v>Jeremiah Rodriguez</v>
      </c>
      <c r="C350" t="str">
        <f>IF(UPPER(LEFT([1]Sheet1!W350,1))="F","FEMALE","MALE")</f>
        <v>MALE</v>
      </c>
      <c r="D350">
        <v>55</v>
      </c>
      <c r="E350" t="s">
        <v>6</v>
      </c>
      <c r="F350" t="s">
        <v>6</v>
      </c>
      <c r="G350" t="s">
        <v>7</v>
      </c>
      <c r="H350" t="s">
        <v>48</v>
      </c>
      <c r="I350" s="1">
        <v>15</v>
      </c>
      <c r="J350" s="1" t="str">
        <f t="shared" si="52"/>
        <v>11-16</v>
      </c>
      <c r="K350" s="1">
        <v>4.5</v>
      </c>
      <c r="L350" s="1">
        <v>40</v>
      </c>
      <c r="M350" s="1">
        <f t="shared" si="54"/>
        <v>40</v>
      </c>
      <c r="N350" s="1">
        <f t="shared" ref="N350:N355" si="58">M350</f>
        <v>40</v>
      </c>
    </row>
    <row r="351" spans="1:16" x14ac:dyDescent="0.35">
      <c r="A351" t="s">
        <v>401</v>
      </c>
      <c r="B351" t="str">
        <f>TRIM([1]Sheet1!AD351)</f>
        <v>Lauren Lang</v>
      </c>
      <c r="C351" t="str">
        <f>IF(UPPER(LEFT([1]Sheet1!W351,1))="F","FEMALE","MALE")</f>
        <v>FEMALE</v>
      </c>
      <c r="D351">
        <v>50</v>
      </c>
      <c r="E351" t="s">
        <v>57</v>
      </c>
      <c r="F351" t="s">
        <v>57</v>
      </c>
      <c r="G351" t="s">
        <v>58</v>
      </c>
      <c r="H351" t="s">
        <v>12</v>
      </c>
      <c r="I351" s="1">
        <v>18</v>
      </c>
      <c r="J351" s="1" t="str">
        <f t="shared" si="52"/>
        <v xml:space="preserve"> 16-20</v>
      </c>
      <c r="K351" s="1">
        <v>3.8</v>
      </c>
      <c r="L351" s="1">
        <v>75</v>
      </c>
      <c r="M351" s="1">
        <f t="shared" si="54"/>
        <v>75</v>
      </c>
      <c r="N351" s="1">
        <f t="shared" si="58"/>
        <v>75</v>
      </c>
      <c r="O351" t="s">
        <v>1053</v>
      </c>
      <c r="P351" s="3">
        <f>[2]Sheet1!K351/100</f>
        <v>0.67</v>
      </c>
    </row>
    <row r="352" spans="1:16" x14ac:dyDescent="0.35">
      <c r="A352" t="s">
        <v>402</v>
      </c>
      <c r="B352" t="str">
        <f>TRIM([1]Sheet1!AD352)</f>
        <v>Matthew Phillips</v>
      </c>
      <c r="C352" t="str">
        <f>IF(UPPER(LEFT([1]Sheet1!W352,1))="F","FEMALE","MALE")</f>
        <v>MALE</v>
      </c>
      <c r="D352">
        <v>48</v>
      </c>
      <c r="E352" t="s">
        <v>30</v>
      </c>
      <c r="F352" t="s">
        <v>30</v>
      </c>
      <c r="G352" t="s">
        <v>11</v>
      </c>
      <c r="H352" t="s">
        <v>62</v>
      </c>
      <c r="I352" s="1">
        <v>21</v>
      </c>
      <c r="J352" s="1" t="str">
        <f t="shared" si="52"/>
        <v>21- 25</v>
      </c>
      <c r="K352" s="1">
        <v>4</v>
      </c>
      <c r="L352" s="1">
        <v>50</v>
      </c>
      <c r="M352" s="1">
        <f t="shared" si="54"/>
        <v>50</v>
      </c>
      <c r="N352" s="1">
        <f t="shared" si="58"/>
        <v>50</v>
      </c>
      <c r="O352" t="s">
        <v>1053</v>
      </c>
      <c r="P352" s="4">
        <f>[2]Sheet1!K352</f>
        <v>0.78</v>
      </c>
    </row>
    <row r="353" spans="1:16" x14ac:dyDescent="0.35">
      <c r="A353" t="s">
        <v>403</v>
      </c>
      <c r="B353" t="str">
        <f>TRIM([1]Sheet1!AD353)</f>
        <v>Michael Andersen</v>
      </c>
      <c r="C353" t="str">
        <f>IF(UPPER(LEFT([1]Sheet1!W353,1))="F","FEMALE","MALE")</f>
        <v>MALE</v>
      </c>
      <c r="D353">
        <v>23</v>
      </c>
      <c r="E353" t="s">
        <v>21</v>
      </c>
      <c r="F353" t="s">
        <v>21</v>
      </c>
      <c r="G353" t="s">
        <v>22</v>
      </c>
      <c r="H353" t="s">
        <v>48</v>
      </c>
      <c r="I353" s="1">
        <v>1</v>
      </c>
      <c r="J353" s="1" t="str">
        <f t="shared" si="52"/>
        <v>0-5</v>
      </c>
      <c r="K353" s="1">
        <v>4.9000000000000004</v>
      </c>
      <c r="L353" s="2">
        <v>40</v>
      </c>
      <c r="M353" s="1">
        <f t="shared" si="54"/>
        <v>40</v>
      </c>
      <c r="N353" s="1">
        <f t="shared" si="58"/>
        <v>40</v>
      </c>
      <c r="O353" t="s">
        <v>1054</v>
      </c>
      <c r="P353" s="4">
        <f>[2]Sheet1!K353</f>
        <v>0.78</v>
      </c>
    </row>
    <row r="354" spans="1:16" x14ac:dyDescent="0.35">
      <c r="A354" t="s">
        <v>404</v>
      </c>
      <c r="B354" t="str">
        <f>TRIM([1]Sheet1!AD354)</f>
        <v>Amanda Mayo</v>
      </c>
      <c r="C354" t="str">
        <f>IF(UPPER(LEFT([1]Sheet1!W354,1))="F","FEMALE","MALE")</f>
        <v>FEMALE</v>
      </c>
      <c r="D354">
        <v>49</v>
      </c>
      <c r="E354" t="s">
        <v>70</v>
      </c>
      <c r="F354" t="s">
        <v>70</v>
      </c>
      <c r="G354" t="s">
        <v>11</v>
      </c>
      <c r="H354" t="s">
        <v>18</v>
      </c>
      <c r="I354" s="1">
        <v>25</v>
      </c>
      <c r="J354" s="1" t="str">
        <f t="shared" si="52"/>
        <v>21- 25</v>
      </c>
      <c r="K354" s="1">
        <v>3.4</v>
      </c>
      <c r="L354" s="2">
        <v>30</v>
      </c>
      <c r="M354" s="1">
        <f t="shared" si="54"/>
        <v>30</v>
      </c>
      <c r="N354" s="1">
        <f t="shared" si="58"/>
        <v>30</v>
      </c>
      <c r="O354" t="s">
        <v>1053</v>
      </c>
      <c r="P354" s="4">
        <f>[2]Sheet1!K354</f>
        <v>0.75</v>
      </c>
    </row>
    <row r="355" spans="1:16" x14ac:dyDescent="0.35">
      <c r="A355" t="s">
        <v>405</v>
      </c>
      <c r="B355" t="str">
        <f>TRIM([1]Sheet1!AD355)</f>
        <v>Jessica Vance</v>
      </c>
      <c r="C355" t="str">
        <f>IF(UPPER(LEFT([1]Sheet1!W355,1))="F","FEMALE","MALE")</f>
        <v>FEMALE</v>
      </c>
      <c r="D355">
        <v>47</v>
      </c>
      <c r="E355" t="s">
        <v>6</v>
      </c>
      <c r="F355" t="s">
        <v>6</v>
      </c>
      <c r="G355" t="s">
        <v>7</v>
      </c>
      <c r="H355" t="s">
        <v>41</v>
      </c>
      <c r="I355" s="1">
        <v>12</v>
      </c>
      <c r="J355" s="1" t="str">
        <f t="shared" si="52"/>
        <v>11-16</v>
      </c>
      <c r="K355" s="1">
        <v>2.1</v>
      </c>
      <c r="L355" s="1">
        <v>50</v>
      </c>
      <c r="M355" s="1">
        <f t="shared" si="54"/>
        <v>50</v>
      </c>
      <c r="N355" s="1">
        <f t="shared" si="58"/>
        <v>50</v>
      </c>
      <c r="O355" t="s">
        <v>1054</v>
      </c>
      <c r="P355" s="4">
        <f>[2]Sheet1!K355</f>
        <v>0.67</v>
      </c>
    </row>
    <row r="356" spans="1:16" x14ac:dyDescent="0.35">
      <c r="A356" t="s">
        <v>406</v>
      </c>
      <c r="B356" t="str">
        <f>TRIM([1]Sheet1!AD356)</f>
        <v>Alexa Gallegos</v>
      </c>
      <c r="C356" t="str">
        <f>IF(UPPER(LEFT([1]Sheet1!W356,1))="F","FEMALE","MALE")</f>
        <v>FEMALE</v>
      </c>
      <c r="D356">
        <v>56</v>
      </c>
      <c r="E356" t="s">
        <v>45</v>
      </c>
      <c r="F356" t="s">
        <v>45</v>
      </c>
      <c r="G356" t="s">
        <v>46</v>
      </c>
      <c r="H356" t="s">
        <v>16</v>
      </c>
      <c r="I356" s="1">
        <v>32</v>
      </c>
      <c r="J356" s="1" t="str">
        <f t="shared" si="52"/>
        <v>31+</v>
      </c>
      <c r="K356" s="1">
        <v>0</v>
      </c>
      <c r="L356" s="1" t="s">
        <v>1064</v>
      </c>
      <c r="M356" s="1" t="str">
        <f t="shared" si="54"/>
        <v>USD 40</v>
      </c>
      <c r="N356" s="1">
        <v>40</v>
      </c>
      <c r="O356" t="s">
        <v>1054</v>
      </c>
      <c r="P356" s="4">
        <f>[2]Sheet1!K356</f>
        <v>0.86</v>
      </c>
    </row>
    <row r="357" spans="1:16" x14ac:dyDescent="0.35">
      <c r="A357" t="s">
        <v>407</v>
      </c>
      <c r="B357" t="str">
        <f>TRIM([1]Sheet1!AD357)</f>
        <v>Charles Pratt</v>
      </c>
      <c r="C357" t="str">
        <f>IF(UPPER(LEFT([1]Sheet1!W357,1))="F","FEMALE","MALE")</f>
        <v>MALE</v>
      </c>
      <c r="D357">
        <v>58</v>
      </c>
      <c r="E357" t="s">
        <v>37</v>
      </c>
      <c r="F357" t="s">
        <v>37</v>
      </c>
      <c r="G357" t="s">
        <v>38</v>
      </c>
      <c r="H357" t="s">
        <v>39</v>
      </c>
      <c r="J357" s="1" t="str">
        <f t="shared" si="52"/>
        <v>0-5</v>
      </c>
      <c r="K357" s="1">
        <v>4.5</v>
      </c>
      <c r="L357" s="1">
        <v>100</v>
      </c>
      <c r="M357" s="1">
        <f t="shared" si="54"/>
        <v>100</v>
      </c>
      <c r="N357" s="1">
        <f t="shared" ref="N357:N361" si="59">M357</f>
        <v>100</v>
      </c>
      <c r="O357" t="s">
        <v>1053</v>
      </c>
      <c r="P357" s="3">
        <f>[2]Sheet1!K357/100</f>
        <v>0.77</v>
      </c>
    </row>
    <row r="358" spans="1:16" x14ac:dyDescent="0.35">
      <c r="A358" t="s">
        <v>408</v>
      </c>
      <c r="B358" t="str">
        <f>TRIM([1]Sheet1!AD358)</f>
        <v>Brian Baker</v>
      </c>
      <c r="C358" t="str">
        <f>IF(UPPER(LEFT([1]Sheet1!W358,1))="F","FEMALE","MALE")</f>
        <v>MALE</v>
      </c>
      <c r="D358">
        <v>32</v>
      </c>
      <c r="E358" t="s">
        <v>60</v>
      </c>
      <c r="F358" t="s">
        <v>60</v>
      </c>
      <c r="G358" t="s">
        <v>61</v>
      </c>
      <c r="H358" t="s">
        <v>39</v>
      </c>
      <c r="I358" s="1">
        <v>10</v>
      </c>
      <c r="J358" s="1" t="str">
        <f t="shared" si="52"/>
        <v>5-10</v>
      </c>
      <c r="K358" s="1">
        <v>3.8</v>
      </c>
      <c r="L358" s="2">
        <v>30</v>
      </c>
      <c r="M358" s="1">
        <f t="shared" si="54"/>
        <v>30</v>
      </c>
      <c r="N358" s="1">
        <f t="shared" si="59"/>
        <v>30</v>
      </c>
      <c r="O358" t="s">
        <v>1053</v>
      </c>
      <c r="P358" s="4">
        <f>[2]Sheet1!K358</f>
        <v>0.61</v>
      </c>
    </row>
    <row r="359" spans="1:16" x14ac:dyDescent="0.35">
      <c r="A359" t="s">
        <v>409</v>
      </c>
      <c r="B359" t="str">
        <f>TRIM([1]Sheet1!AD359)</f>
        <v>Christina Norman</v>
      </c>
      <c r="C359" t="str">
        <f>IF(UPPER(LEFT([1]Sheet1!W359,1))="F","FEMALE","MALE")</f>
        <v>FEMALE</v>
      </c>
      <c r="D359">
        <v>52</v>
      </c>
      <c r="E359" t="s">
        <v>50</v>
      </c>
      <c r="F359" t="s">
        <v>50</v>
      </c>
      <c r="G359" t="s">
        <v>51</v>
      </c>
      <c r="H359" t="s">
        <v>39</v>
      </c>
      <c r="I359" s="1">
        <v>0</v>
      </c>
      <c r="J359" s="1" t="str">
        <f t="shared" si="52"/>
        <v>0-5</v>
      </c>
      <c r="K359" s="1">
        <v>4.3</v>
      </c>
      <c r="M359" s="1">
        <f t="shared" si="54"/>
        <v>0</v>
      </c>
      <c r="N359" s="1">
        <f t="shared" si="59"/>
        <v>0</v>
      </c>
      <c r="O359" t="s">
        <v>1053</v>
      </c>
      <c r="P359" s="4">
        <f>[2]Sheet1!K359</f>
        <v>0.9</v>
      </c>
    </row>
    <row r="360" spans="1:16" x14ac:dyDescent="0.35">
      <c r="A360" t="s">
        <v>410</v>
      </c>
      <c r="B360" t="str">
        <f>TRIM([1]Sheet1!AD360)</f>
        <v>Laura Kelly</v>
      </c>
      <c r="C360" t="str">
        <f>IF(UPPER(LEFT([1]Sheet1!W360,1))="F","FEMALE","MALE")</f>
        <v>FEMALE</v>
      </c>
      <c r="D360">
        <v>22</v>
      </c>
      <c r="E360" t="s">
        <v>96</v>
      </c>
      <c r="F360" t="s">
        <v>96</v>
      </c>
      <c r="G360" t="s">
        <v>97</v>
      </c>
      <c r="H360" t="s">
        <v>27</v>
      </c>
      <c r="I360" s="1">
        <v>1</v>
      </c>
      <c r="J360" s="1" t="str">
        <f t="shared" si="52"/>
        <v>0-5</v>
      </c>
      <c r="K360" s="1">
        <v>0</v>
      </c>
      <c r="L360" s="1">
        <v>50</v>
      </c>
      <c r="M360" s="1">
        <f t="shared" si="54"/>
        <v>50</v>
      </c>
      <c r="N360" s="1">
        <f t="shared" si="59"/>
        <v>50</v>
      </c>
      <c r="P360" s="4">
        <f>[2]Sheet1!K360</f>
        <v>0.98</v>
      </c>
    </row>
    <row r="361" spans="1:16" x14ac:dyDescent="0.35">
      <c r="A361" t="s">
        <v>411</v>
      </c>
      <c r="B361" t="str">
        <f>TRIM([1]Sheet1!AD361)</f>
        <v>John Webb</v>
      </c>
      <c r="C361" t="str">
        <f>IF(UPPER(LEFT([1]Sheet1!W361,1))="F","FEMALE","MALE")</f>
        <v>MALE</v>
      </c>
      <c r="D361">
        <v>20</v>
      </c>
      <c r="E361" t="s">
        <v>50</v>
      </c>
      <c r="F361" t="s">
        <v>50</v>
      </c>
      <c r="G361" t="s">
        <v>51</v>
      </c>
      <c r="H361" t="s">
        <v>41</v>
      </c>
      <c r="I361" s="1">
        <v>2</v>
      </c>
      <c r="J361" s="1" t="str">
        <f t="shared" si="52"/>
        <v>0-5</v>
      </c>
      <c r="L361" s="1">
        <v>30</v>
      </c>
      <c r="M361" s="1">
        <f t="shared" si="54"/>
        <v>30</v>
      </c>
      <c r="N361" s="1">
        <f t="shared" si="59"/>
        <v>30</v>
      </c>
      <c r="O361" t="s">
        <v>1054</v>
      </c>
      <c r="P361" s="4">
        <f>[2]Sheet1!K361</f>
        <v>0.99</v>
      </c>
    </row>
    <row r="362" spans="1:16" x14ac:dyDescent="0.35">
      <c r="A362" t="s">
        <v>412</v>
      </c>
      <c r="B362" t="str">
        <f>TRIM([1]Sheet1!AD362)</f>
        <v>Christopher Burton</v>
      </c>
      <c r="C362" t="str">
        <f>IF(UPPER(LEFT([1]Sheet1!W362,1))="F","FEMALE","MALE")</f>
        <v>MALE</v>
      </c>
      <c r="D362">
        <v>56</v>
      </c>
      <c r="E362" t="s">
        <v>21</v>
      </c>
      <c r="F362" t="s">
        <v>21</v>
      </c>
      <c r="G362" t="s">
        <v>22</v>
      </c>
      <c r="H362" t="s">
        <v>27</v>
      </c>
      <c r="I362" s="1">
        <v>9</v>
      </c>
      <c r="J362" s="1" t="str">
        <f t="shared" si="52"/>
        <v>5-10</v>
      </c>
      <c r="K362" s="1">
        <v>2.6</v>
      </c>
      <c r="L362" s="1" t="s">
        <v>1064</v>
      </c>
      <c r="M362" s="1" t="str">
        <f t="shared" si="54"/>
        <v>USD 40</v>
      </c>
      <c r="N362" s="1">
        <v>40</v>
      </c>
      <c r="O362" t="s">
        <v>1053</v>
      </c>
      <c r="P362" s="4">
        <f>[2]Sheet1!K362</f>
        <v>0.61</v>
      </c>
    </row>
    <row r="363" spans="1:16" x14ac:dyDescent="0.35">
      <c r="A363" t="s">
        <v>413</v>
      </c>
      <c r="B363" t="str">
        <f>TRIM([1]Sheet1!AD363)</f>
        <v>Bradley Aguilar</v>
      </c>
      <c r="C363" t="str">
        <f>IF(UPPER(LEFT([1]Sheet1!W363,1))="F","FEMALE","MALE")</f>
        <v>MALE</v>
      </c>
      <c r="D363">
        <v>41</v>
      </c>
      <c r="E363" t="s">
        <v>45</v>
      </c>
      <c r="F363" t="s">
        <v>45</v>
      </c>
      <c r="G363" t="s">
        <v>46</v>
      </c>
      <c r="H363" t="s">
        <v>27</v>
      </c>
      <c r="I363" s="1">
        <v>22</v>
      </c>
      <c r="J363" s="1" t="str">
        <f t="shared" si="52"/>
        <v>21- 25</v>
      </c>
      <c r="K363" s="1">
        <v>1.6</v>
      </c>
      <c r="L363" s="1" t="s">
        <v>1065</v>
      </c>
      <c r="M363" s="1" t="str">
        <f t="shared" si="54"/>
        <v>USD 50</v>
      </c>
      <c r="N363" s="1">
        <v>50</v>
      </c>
      <c r="O363" t="s">
        <v>1054</v>
      </c>
      <c r="P363" s="4">
        <f>[2]Sheet1!K363</f>
        <v>0.61</v>
      </c>
    </row>
    <row r="364" spans="1:16" x14ac:dyDescent="0.35">
      <c r="A364" t="s">
        <v>414</v>
      </c>
      <c r="B364" t="str">
        <f>TRIM([1]Sheet1!AD364)</f>
        <v>Arthur Vasquez</v>
      </c>
      <c r="C364" t="str">
        <f>IF(UPPER(LEFT([1]Sheet1!W364,1))="F","FEMALE","MALE")</f>
        <v>MALE</v>
      </c>
      <c r="D364">
        <v>25</v>
      </c>
      <c r="E364" t="s">
        <v>37</v>
      </c>
      <c r="F364" t="s">
        <v>37</v>
      </c>
      <c r="G364" t="s">
        <v>38</v>
      </c>
      <c r="H364" t="s">
        <v>8</v>
      </c>
      <c r="I364" s="1">
        <v>5</v>
      </c>
      <c r="J364" s="1" t="str">
        <f t="shared" si="52"/>
        <v>0-5</v>
      </c>
      <c r="K364" s="1">
        <v>2.2999999999999998</v>
      </c>
      <c r="L364" s="2">
        <v>30</v>
      </c>
      <c r="M364" s="1">
        <f t="shared" si="54"/>
        <v>30</v>
      </c>
      <c r="N364" s="1">
        <f t="shared" ref="N364:N367" si="60">M364</f>
        <v>30</v>
      </c>
      <c r="O364" t="s">
        <v>1053</v>
      </c>
      <c r="P364" s="4">
        <f>[2]Sheet1!K364</f>
        <v>0.91</v>
      </c>
    </row>
    <row r="365" spans="1:16" x14ac:dyDescent="0.35">
      <c r="A365" t="s">
        <v>415</v>
      </c>
      <c r="B365" t="str">
        <f>TRIM([1]Sheet1!AD365)</f>
        <v>Angela Castro</v>
      </c>
      <c r="C365" t="str">
        <f>IF(UPPER(LEFT([1]Sheet1!W365,1))="F","FEMALE","MALE")</f>
        <v>FEMALE</v>
      </c>
      <c r="D365">
        <v>44</v>
      </c>
      <c r="E365" t="s">
        <v>70</v>
      </c>
      <c r="F365" t="s">
        <v>70</v>
      </c>
      <c r="G365" t="s">
        <v>11</v>
      </c>
      <c r="H365" t="s">
        <v>41</v>
      </c>
      <c r="I365" s="1">
        <v>6</v>
      </c>
      <c r="J365" s="1" t="str">
        <f t="shared" si="52"/>
        <v>5-10</v>
      </c>
      <c r="K365" s="1">
        <v>4.5999999999999996</v>
      </c>
      <c r="L365" s="1">
        <v>75</v>
      </c>
      <c r="M365" s="1">
        <f t="shared" si="54"/>
        <v>75</v>
      </c>
      <c r="N365" s="1">
        <f t="shared" si="60"/>
        <v>75</v>
      </c>
      <c r="O365" t="s">
        <v>1054</v>
      </c>
      <c r="P365" s="3">
        <f>[2]Sheet1!K365/100</f>
        <v>0.72</v>
      </c>
    </row>
    <row r="366" spans="1:16" x14ac:dyDescent="0.35">
      <c r="A366" t="s">
        <v>416</v>
      </c>
      <c r="B366" t="str">
        <f>TRIM([1]Sheet1!AD366)</f>
        <v>Summer Yoder</v>
      </c>
      <c r="C366" t="str">
        <f>IF(UPPER(LEFT([1]Sheet1!W366,1))="F","FEMALE","MALE")</f>
        <v>FEMALE</v>
      </c>
      <c r="D366">
        <v>46</v>
      </c>
      <c r="E366" t="s">
        <v>10</v>
      </c>
      <c r="F366" t="s">
        <v>10</v>
      </c>
      <c r="G366" t="s">
        <v>11</v>
      </c>
      <c r="H366" t="s">
        <v>18</v>
      </c>
      <c r="I366" s="1">
        <v>26</v>
      </c>
      <c r="J366" s="1" t="str">
        <f t="shared" si="52"/>
        <v>26-30</v>
      </c>
      <c r="K366" s="1">
        <v>2.1</v>
      </c>
      <c r="L366" s="2">
        <v>100</v>
      </c>
      <c r="M366" s="1">
        <f t="shared" si="54"/>
        <v>100</v>
      </c>
      <c r="N366" s="1">
        <f t="shared" si="60"/>
        <v>100</v>
      </c>
    </row>
    <row r="367" spans="1:16" x14ac:dyDescent="0.35">
      <c r="A367" t="s">
        <v>417</v>
      </c>
      <c r="B367" t="str">
        <f>TRIM([1]Sheet1!AD367)</f>
        <v>Jackie Allen</v>
      </c>
      <c r="C367" t="str">
        <f>IF(UPPER(LEFT([1]Sheet1!W367,1))="F","FEMALE","MALE")</f>
        <v>FEMALE</v>
      </c>
      <c r="D367">
        <v>40</v>
      </c>
      <c r="E367" t="s">
        <v>60</v>
      </c>
      <c r="F367" t="s">
        <v>60</v>
      </c>
      <c r="G367" t="s">
        <v>61</v>
      </c>
      <c r="H367" t="s">
        <v>8</v>
      </c>
      <c r="J367" s="1" t="str">
        <f t="shared" si="52"/>
        <v>0-5</v>
      </c>
      <c r="K367" s="1">
        <v>1.5</v>
      </c>
      <c r="L367" s="1">
        <v>40</v>
      </c>
      <c r="M367" s="1">
        <f t="shared" si="54"/>
        <v>40</v>
      </c>
      <c r="N367" s="1">
        <f t="shared" si="60"/>
        <v>40</v>
      </c>
      <c r="O367" t="s">
        <v>1053</v>
      </c>
      <c r="P367" s="4">
        <f>[2]Sheet1!K367</f>
        <v>0.96</v>
      </c>
    </row>
    <row r="368" spans="1:16" x14ac:dyDescent="0.35">
      <c r="A368" t="s">
        <v>418</v>
      </c>
      <c r="B368" t="str">
        <f>TRIM([1]Sheet1!AD368)</f>
        <v>Brandon Williams</v>
      </c>
      <c r="C368" t="str">
        <f>IF(UPPER(LEFT([1]Sheet1!W368,1))="F","FEMALE","MALE")</f>
        <v>MALE</v>
      </c>
      <c r="E368" t="s">
        <v>96</v>
      </c>
      <c r="F368" t="s">
        <v>96</v>
      </c>
      <c r="G368" t="s">
        <v>97</v>
      </c>
      <c r="H368" t="s">
        <v>23</v>
      </c>
      <c r="I368" s="1">
        <v>9</v>
      </c>
      <c r="J368" s="1" t="str">
        <f t="shared" si="52"/>
        <v>5-10</v>
      </c>
      <c r="K368" s="1">
        <v>1.7</v>
      </c>
      <c r="L368" s="1" t="s">
        <v>1064</v>
      </c>
      <c r="M368" s="1" t="str">
        <f t="shared" si="54"/>
        <v>USD 40</v>
      </c>
      <c r="N368" s="1">
        <v>40</v>
      </c>
      <c r="O368" t="s">
        <v>1054</v>
      </c>
      <c r="P368" s="3">
        <f>[2]Sheet1!K368/100</f>
        <v>0.72</v>
      </c>
    </row>
    <row r="369" spans="1:16" x14ac:dyDescent="0.35">
      <c r="A369" t="s">
        <v>419</v>
      </c>
      <c r="B369" t="str">
        <f>TRIM([1]Sheet1!AD369)</f>
        <v>Manuel Torres</v>
      </c>
      <c r="C369" t="str">
        <f>IF(UPPER(LEFT([1]Sheet1!W369,1))="F","FEMALE","MALE")</f>
        <v>MALE</v>
      </c>
      <c r="D369">
        <v>31</v>
      </c>
      <c r="E369" t="s">
        <v>45</v>
      </c>
      <c r="F369" t="s">
        <v>45</v>
      </c>
      <c r="G369" t="s">
        <v>46</v>
      </c>
      <c r="H369" t="s">
        <v>27</v>
      </c>
      <c r="I369" s="1">
        <v>11</v>
      </c>
      <c r="J369" s="1" t="str">
        <f t="shared" si="52"/>
        <v>11-16</v>
      </c>
      <c r="K369" s="1">
        <v>3.3</v>
      </c>
      <c r="M369" s="1">
        <f t="shared" si="54"/>
        <v>0</v>
      </c>
      <c r="N369" s="1">
        <f t="shared" ref="N369:N371" si="61">M369</f>
        <v>0</v>
      </c>
      <c r="O369" t="s">
        <v>1053</v>
      </c>
    </row>
    <row r="370" spans="1:16" x14ac:dyDescent="0.35">
      <c r="A370" t="s">
        <v>420</v>
      </c>
      <c r="B370" t="str">
        <f>TRIM([1]Sheet1!AD370)</f>
        <v>Scott Keller</v>
      </c>
      <c r="C370" t="str">
        <f>IF(UPPER(LEFT([1]Sheet1!W370,1))="F","FEMALE","MALE")</f>
        <v>MALE</v>
      </c>
      <c r="D370">
        <v>33</v>
      </c>
      <c r="E370" t="s">
        <v>60</v>
      </c>
      <c r="F370" t="s">
        <v>60</v>
      </c>
      <c r="G370" t="s">
        <v>61</v>
      </c>
      <c r="H370" t="s">
        <v>62</v>
      </c>
      <c r="J370" s="1" t="str">
        <f t="shared" si="52"/>
        <v>0-5</v>
      </c>
      <c r="K370" s="1">
        <v>4.3</v>
      </c>
      <c r="L370" s="2">
        <v>40</v>
      </c>
      <c r="M370" s="1">
        <f t="shared" si="54"/>
        <v>40</v>
      </c>
      <c r="N370" s="1">
        <f t="shared" si="61"/>
        <v>40</v>
      </c>
      <c r="O370" t="s">
        <v>1054</v>
      </c>
      <c r="P370" s="4">
        <f>[2]Sheet1!K370</f>
        <v>0.63</v>
      </c>
    </row>
    <row r="371" spans="1:16" x14ac:dyDescent="0.35">
      <c r="A371" t="s">
        <v>421</v>
      </c>
      <c r="B371" t="str">
        <f>TRIM([1]Sheet1!AD371)</f>
        <v>Deborah Brown</v>
      </c>
      <c r="C371" t="str">
        <f>IF(UPPER(LEFT([1]Sheet1!W371,1))="F","FEMALE","MALE")</f>
        <v>FEMALE</v>
      </c>
      <c r="D371">
        <v>31</v>
      </c>
      <c r="E371" t="s">
        <v>57</v>
      </c>
      <c r="F371" t="s">
        <v>57</v>
      </c>
      <c r="G371" t="s">
        <v>58</v>
      </c>
      <c r="H371" t="s">
        <v>62</v>
      </c>
      <c r="I371" s="1">
        <v>3</v>
      </c>
      <c r="J371" s="1" t="str">
        <f t="shared" si="52"/>
        <v>0-5</v>
      </c>
      <c r="L371" s="2">
        <v>20</v>
      </c>
      <c r="M371" s="1">
        <f t="shared" si="54"/>
        <v>20</v>
      </c>
      <c r="N371" s="1">
        <f t="shared" si="61"/>
        <v>20</v>
      </c>
      <c r="O371" t="s">
        <v>1053</v>
      </c>
    </row>
    <row r="372" spans="1:16" x14ac:dyDescent="0.35">
      <c r="A372" t="s">
        <v>422</v>
      </c>
      <c r="B372" t="str">
        <f>TRIM([1]Sheet1!AD372)</f>
        <v>Jennifer Lara</v>
      </c>
      <c r="C372" t="str">
        <f>IF(UPPER(LEFT([1]Sheet1!W372,1))="F","FEMALE","MALE")</f>
        <v>FEMALE</v>
      </c>
      <c r="D372">
        <v>49</v>
      </c>
      <c r="E372" t="s">
        <v>6</v>
      </c>
      <c r="F372" t="s">
        <v>6</v>
      </c>
      <c r="G372" t="s">
        <v>7</v>
      </c>
      <c r="H372" t="s">
        <v>27</v>
      </c>
      <c r="I372" s="1">
        <v>15</v>
      </c>
      <c r="J372" s="1" t="str">
        <f t="shared" si="52"/>
        <v>11-16</v>
      </c>
      <c r="K372" s="1">
        <v>2.6</v>
      </c>
      <c r="L372" s="1" t="s">
        <v>1063</v>
      </c>
      <c r="M372" s="1" t="str">
        <f t="shared" si="54"/>
        <v>USD 75</v>
      </c>
      <c r="N372" s="1">
        <v>75</v>
      </c>
      <c r="O372" t="s">
        <v>1053</v>
      </c>
      <c r="P372" s="4">
        <f>[2]Sheet1!K372</f>
        <v>0.83</v>
      </c>
    </row>
    <row r="373" spans="1:16" x14ac:dyDescent="0.35">
      <c r="A373" t="s">
        <v>423</v>
      </c>
      <c r="B373" t="str">
        <f>TRIM([1]Sheet1!AD373)</f>
        <v>Jason Scott</v>
      </c>
      <c r="C373" t="str">
        <f>IF(UPPER(LEFT([1]Sheet1!W373,1))="F","FEMALE","MALE")</f>
        <v>MALE</v>
      </c>
      <c r="D373">
        <v>35</v>
      </c>
      <c r="E373" t="s">
        <v>99</v>
      </c>
      <c r="F373" t="s">
        <v>99</v>
      </c>
      <c r="G373" t="s">
        <v>38</v>
      </c>
      <c r="H373" t="s">
        <v>16</v>
      </c>
      <c r="I373" s="1">
        <v>12</v>
      </c>
      <c r="J373" s="1" t="str">
        <f t="shared" si="52"/>
        <v>11-16</v>
      </c>
      <c r="K373" s="1">
        <v>4.0999999999999996</v>
      </c>
      <c r="L373" s="1" t="s">
        <v>1067</v>
      </c>
      <c r="M373" s="1" t="str">
        <f t="shared" si="54"/>
        <v>USD 20</v>
      </c>
      <c r="N373" s="1">
        <v>20</v>
      </c>
      <c r="P373" s="4">
        <f>[2]Sheet1!K373</f>
        <v>0.94</v>
      </c>
    </row>
    <row r="374" spans="1:16" x14ac:dyDescent="0.35">
      <c r="A374" t="s">
        <v>424</v>
      </c>
      <c r="B374" t="str">
        <f>TRIM([1]Sheet1!AD374)</f>
        <v>Gregory Garrison</v>
      </c>
      <c r="C374" t="str">
        <f>IF(UPPER(LEFT([1]Sheet1!W374,1))="F","FEMALE","MALE")</f>
        <v>MALE</v>
      </c>
      <c r="D374">
        <v>45</v>
      </c>
      <c r="E374" t="s">
        <v>50</v>
      </c>
      <c r="F374" t="s">
        <v>50</v>
      </c>
      <c r="G374" t="s">
        <v>51</v>
      </c>
      <c r="H374" t="s">
        <v>27</v>
      </c>
      <c r="I374" s="1">
        <v>19</v>
      </c>
      <c r="J374" s="1" t="str">
        <f t="shared" si="52"/>
        <v xml:space="preserve"> 16-20</v>
      </c>
      <c r="K374" s="1">
        <v>2.2000000000000002</v>
      </c>
      <c r="L374" s="2">
        <v>40</v>
      </c>
      <c r="M374" s="1">
        <f t="shared" si="54"/>
        <v>40</v>
      </c>
      <c r="N374" s="1">
        <f t="shared" ref="N374:N378" si="62">M374</f>
        <v>40</v>
      </c>
      <c r="O374" t="s">
        <v>1054</v>
      </c>
      <c r="P374" s="4">
        <f>[2]Sheet1!K374</f>
        <v>0.78</v>
      </c>
    </row>
    <row r="375" spans="1:16" x14ac:dyDescent="0.35">
      <c r="A375" t="s">
        <v>425</v>
      </c>
      <c r="B375" t="str">
        <f>TRIM([1]Sheet1!AD375)</f>
        <v>Chelsea Anderson</v>
      </c>
      <c r="C375" t="str">
        <f>IF(UPPER(LEFT([1]Sheet1!W375,1))="F","FEMALE","MALE")</f>
        <v>FEMALE</v>
      </c>
      <c r="D375">
        <v>39</v>
      </c>
      <c r="E375" t="s">
        <v>21</v>
      </c>
      <c r="F375" t="s">
        <v>21</v>
      </c>
      <c r="G375" t="s">
        <v>22</v>
      </c>
      <c r="H375" t="s">
        <v>27</v>
      </c>
      <c r="I375" s="1">
        <v>13</v>
      </c>
      <c r="J375" s="1" t="str">
        <f t="shared" si="52"/>
        <v>11-16</v>
      </c>
      <c r="K375" s="1">
        <v>1.1000000000000001</v>
      </c>
      <c r="L375" s="1">
        <v>30</v>
      </c>
      <c r="M375" s="1">
        <f t="shared" si="54"/>
        <v>30</v>
      </c>
      <c r="N375" s="1">
        <f t="shared" si="62"/>
        <v>30</v>
      </c>
      <c r="O375" t="s">
        <v>1054</v>
      </c>
    </row>
    <row r="376" spans="1:16" x14ac:dyDescent="0.35">
      <c r="A376" t="s">
        <v>426</v>
      </c>
      <c r="B376" t="str">
        <f>TRIM([1]Sheet1!AD376)</f>
        <v>Gerald Johnson</v>
      </c>
      <c r="C376" t="str">
        <f>IF(UPPER(LEFT([1]Sheet1!W376,1))="F","FEMALE","MALE")</f>
        <v>MALE</v>
      </c>
      <c r="E376" t="s">
        <v>37</v>
      </c>
      <c r="F376" t="s">
        <v>37</v>
      </c>
      <c r="G376" t="s">
        <v>38</v>
      </c>
      <c r="H376" t="s">
        <v>8</v>
      </c>
      <c r="J376" s="1" t="str">
        <f t="shared" si="52"/>
        <v>0-5</v>
      </c>
      <c r="K376" s="1">
        <v>2.1</v>
      </c>
      <c r="L376" s="2">
        <v>50</v>
      </c>
      <c r="M376" s="1">
        <f t="shared" si="54"/>
        <v>50</v>
      </c>
      <c r="N376" s="1">
        <f t="shared" si="62"/>
        <v>50</v>
      </c>
      <c r="O376" t="s">
        <v>1054</v>
      </c>
      <c r="P376" s="4">
        <f>[2]Sheet1!K376</f>
        <v>0.82</v>
      </c>
    </row>
    <row r="377" spans="1:16" x14ac:dyDescent="0.35">
      <c r="A377" t="s">
        <v>427</v>
      </c>
      <c r="B377" t="str">
        <f>TRIM([1]Sheet1!AD377)</f>
        <v>Kevin Ellis</v>
      </c>
      <c r="C377" t="str">
        <f>IF(UPPER(LEFT([1]Sheet1!W377,1))="F","FEMALE","MALE")</f>
        <v>MALE</v>
      </c>
      <c r="D377">
        <v>24</v>
      </c>
      <c r="E377" t="s">
        <v>14</v>
      </c>
      <c r="F377" t="s">
        <v>14</v>
      </c>
      <c r="G377" t="s">
        <v>15</v>
      </c>
      <c r="H377" t="s">
        <v>41</v>
      </c>
      <c r="I377" s="1">
        <v>3</v>
      </c>
      <c r="J377" s="1" t="str">
        <f t="shared" si="52"/>
        <v>0-5</v>
      </c>
      <c r="K377" s="1">
        <v>2.2999999999999998</v>
      </c>
      <c r="L377" s="2">
        <v>30</v>
      </c>
      <c r="M377" s="1">
        <f t="shared" si="54"/>
        <v>30</v>
      </c>
      <c r="N377" s="1">
        <f t="shared" si="62"/>
        <v>30</v>
      </c>
      <c r="O377" t="s">
        <v>1053</v>
      </c>
      <c r="P377" s="4">
        <f>[2]Sheet1!K377</f>
        <v>0.66</v>
      </c>
    </row>
    <row r="378" spans="1:16" x14ac:dyDescent="0.35">
      <c r="A378" t="s">
        <v>428</v>
      </c>
      <c r="B378" t="str">
        <f>TRIM([1]Sheet1!AD378)</f>
        <v>Mitchell Keller</v>
      </c>
      <c r="C378" t="str">
        <f>IF(UPPER(LEFT([1]Sheet1!W378,1))="F","FEMALE","MALE")</f>
        <v>MALE</v>
      </c>
      <c r="D378">
        <v>50</v>
      </c>
      <c r="E378" t="s">
        <v>10</v>
      </c>
      <c r="F378" t="s">
        <v>10</v>
      </c>
      <c r="G378" t="s">
        <v>11</v>
      </c>
      <c r="H378" t="s">
        <v>16</v>
      </c>
      <c r="I378" s="1">
        <v>26</v>
      </c>
      <c r="J378" s="1" t="str">
        <f t="shared" si="52"/>
        <v>26-30</v>
      </c>
      <c r="K378" s="1">
        <v>3.6</v>
      </c>
      <c r="M378" s="1">
        <f t="shared" si="54"/>
        <v>0</v>
      </c>
      <c r="N378" s="1">
        <f t="shared" si="62"/>
        <v>0</v>
      </c>
      <c r="O378" t="s">
        <v>1054</v>
      </c>
      <c r="P378" s="3">
        <f>[2]Sheet1!K378/100</f>
        <v>0.82</v>
      </c>
    </row>
    <row r="379" spans="1:16" x14ac:dyDescent="0.35">
      <c r="A379" t="s">
        <v>429</v>
      </c>
      <c r="B379" t="str">
        <f>TRIM([1]Sheet1!AD379)</f>
        <v>Mary Brown</v>
      </c>
      <c r="C379" t="str">
        <f>IF(UPPER(LEFT([1]Sheet1!W379,1))="F","FEMALE","MALE")</f>
        <v>FEMALE</v>
      </c>
      <c r="D379">
        <v>23</v>
      </c>
      <c r="E379" t="s">
        <v>14</v>
      </c>
      <c r="F379" t="s">
        <v>14</v>
      </c>
      <c r="G379" t="s">
        <v>15</v>
      </c>
      <c r="H379" t="s">
        <v>62</v>
      </c>
      <c r="I379" s="1">
        <v>4</v>
      </c>
      <c r="J379" s="1" t="str">
        <f t="shared" si="52"/>
        <v>0-5</v>
      </c>
      <c r="K379" s="1">
        <v>4.7</v>
      </c>
      <c r="L379" s="1" t="s">
        <v>1067</v>
      </c>
      <c r="M379" s="1" t="str">
        <f t="shared" si="54"/>
        <v>USD 20</v>
      </c>
      <c r="N379" s="1">
        <v>20</v>
      </c>
      <c r="O379" t="s">
        <v>1054</v>
      </c>
      <c r="P379" s="4">
        <f>[2]Sheet1!K379</f>
        <v>0.84</v>
      </c>
    </row>
    <row r="380" spans="1:16" x14ac:dyDescent="0.35">
      <c r="A380" t="s">
        <v>430</v>
      </c>
      <c r="B380" t="str">
        <f>TRIM([1]Sheet1!AD380)</f>
        <v>Ronald Walls</v>
      </c>
      <c r="C380" t="str">
        <f>IF(UPPER(LEFT([1]Sheet1!W380,1))="F","FEMALE","MALE")</f>
        <v>MALE</v>
      </c>
      <c r="D380">
        <v>27</v>
      </c>
      <c r="E380" t="s">
        <v>70</v>
      </c>
      <c r="F380" t="s">
        <v>70</v>
      </c>
      <c r="G380" t="s">
        <v>11</v>
      </c>
      <c r="H380" t="s">
        <v>41</v>
      </c>
      <c r="I380" s="1">
        <v>8</v>
      </c>
      <c r="J380" s="1" t="str">
        <f t="shared" si="52"/>
        <v>5-10</v>
      </c>
      <c r="K380" s="1">
        <v>4.8</v>
      </c>
      <c r="L380" s="1">
        <v>20</v>
      </c>
      <c r="M380" s="1">
        <f t="shared" si="54"/>
        <v>20</v>
      </c>
      <c r="N380" s="1">
        <f t="shared" ref="N380:N384" si="63">M380</f>
        <v>20</v>
      </c>
      <c r="O380" t="s">
        <v>1053</v>
      </c>
      <c r="P380" s="4">
        <f>[2]Sheet1!K380</f>
        <v>0.81</v>
      </c>
    </row>
    <row r="381" spans="1:16" x14ac:dyDescent="0.35">
      <c r="A381" t="s">
        <v>431</v>
      </c>
      <c r="B381" t="str">
        <f>TRIM([1]Sheet1!AD381)</f>
        <v>Anthony Avila</v>
      </c>
      <c r="C381" t="str">
        <f>IF(UPPER(LEFT([1]Sheet1!W381,1))="F","FEMALE","MALE")</f>
        <v>MALE</v>
      </c>
      <c r="D381">
        <v>58</v>
      </c>
      <c r="E381" t="s">
        <v>85</v>
      </c>
      <c r="F381" t="s">
        <v>85</v>
      </c>
      <c r="G381" t="s">
        <v>86</v>
      </c>
      <c r="H381" t="s">
        <v>23</v>
      </c>
      <c r="I381" s="1">
        <v>10</v>
      </c>
      <c r="J381" s="1" t="str">
        <f t="shared" si="52"/>
        <v>5-10</v>
      </c>
      <c r="K381" s="1">
        <v>4.2</v>
      </c>
      <c r="L381" s="1">
        <v>75</v>
      </c>
      <c r="M381" s="1">
        <f t="shared" si="54"/>
        <v>75</v>
      </c>
      <c r="N381" s="1">
        <f t="shared" si="63"/>
        <v>75</v>
      </c>
      <c r="O381" t="s">
        <v>1053</v>
      </c>
      <c r="P381" s="3">
        <f>[2]Sheet1!K381/100</f>
        <v>0.71</v>
      </c>
    </row>
    <row r="382" spans="1:16" x14ac:dyDescent="0.35">
      <c r="A382" t="s">
        <v>432</v>
      </c>
      <c r="B382" t="str">
        <f>TRIM([1]Sheet1!AD382)</f>
        <v>Douglas Goodwin</v>
      </c>
      <c r="C382" t="str">
        <f>IF(UPPER(LEFT([1]Sheet1!W382,1))="F","FEMALE","MALE")</f>
        <v>MALE</v>
      </c>
      <c r="D382">
        <v>37</v>
      </c>
      <c r="E382" t="s">
        <v>6</v>
      </c>
      <c r="F382" t="s">
        <v>6</v>
      </c>
      <c r="G382" t="s">
        <v>7</v>
      </c>
      <c r="H382" t="s">
        <v>62</v>
      </c>
      <c r="I382" s="1">
        <v>5</v>
      </c>
      <c r="J382" s="1" t="str">
        <f t="shared" si="52"/>
        <v>0-5</v>
      </c>
      <c r="K382" s="1">
        <v>4.8</v>
      </c>
      <c r="M382" s="1">
        <f t="shared" si="54"/>
        <v>0</v>
      </c>
      <c r="N382" s="1">
        <f t="shared" si="63"/>
        <v>0</v>
      </c>
      <c r="O382" t="s">
        <v>1054</v>
      </c>
      <c r="P382" s="4">
        <f>[2]Sheet1!K382</f>
        <v>0.61</v>
      </c>
    </row>
    <row r="383" spans="1:16" x14ac:dyDescent="0.35">
      <c r="A383" t="s">
        <v>433</v>
      </c>
      <c r="B383" t="str">
        <f>TRIM([1]Sheet1!AD383)</f>
        <v>James Mills</v>
      </c>
      <c r="C383" t="str">
        <f>IF(UPPER(LEFT([1]Sheet1!W383,1))="F","FEMALE","MALE")</f>
        <v>MALE</v>
      </c>
      <c r="D383">
        <v>39</v>
      </c>
      <c r="E383" t="s">
        <v>105</v>
      </c>
      <c r="F383" t="s">
        <v>105</v>
      </c>
      <c r="G383" t="s">
        <v>38</v>
      </c>
      <c r="H383" t="s">
        <v>8</v>
      </c>
      <c r="I383" s="1">
        <v>18</v>
      </c>
      <c r="J383" s="1" t="str">
        <f t="shared" si="52"/>
        <v xml:space="preserve"> 16-20</v>
      </c>
      <c r="K383" s="1">
        <v>4</v>
      </c>
      <c r="L383" s="1">
        <v>75</v>
      </c>
      <c r="M383" s="1">
        <f t="shared" si="54"/>
        <v>75</v>
      </c>
      <c r="N383" s="1">
        <f t="shared" si="63"/>
        <v>75</v>
      </c>
      <c r="O383" t="s">
        <v>1054</v>
      </c>
      <c r="P383" s="4">
        <f>[2]Sheet1!K383</f>
        <v>0.66</v>
      </c>
    </row>
    <row r="384" spans="1:16" x14ac:dyDescent="0.35">
      <c r="A384" t="s">
        <v>434</v>
      </c>
      <c r="B384" t="str">
        <f>TRIM([1]Sheet1!AD384)</f>
        <v>Nicole Marks</v>
      </c>
      <c r="C384" t="str">
        <f>IF(UPPER(LEFT([1]Sheet1!W384,1))="F","FEMALE","MALE")</f>
        <v>FEMALE</v>
      </c>
      <c r="D384">
        <v>46</v>
      </c>
      <c r="E384" t="s">
        <v>77</v>
      </c>
      <c r="F384" t="s">
        <v>77</v>
      </c>
      <c r="G384" t="s">
        <v>78</v>
      </c>
      <c r="H384" t="s">
        <v>27</v>
      </c>
      <c r="I384" s="1">
        <v>10</v>
      </c>
      <c r="J384" s="1" t="str">
        <f t="shared" si="52"/>
        <v>5-10</v>
      </c>
      <c r="K384" s="1">
        <v>2.5</v>
      </c>
      <c r="L384" s="2">
        <v>20</v>
      </c>
      <c r="M384" s="1">
        <f t="shared" si="54"/>
        <v>20</v>
      </c>
      <c r="N384" s="1">
        <f t="shared" si="63"/>
        <v>20</v>
      </c>
      <c r="O384" t="s">
        <v>1054</v>
      </c>
      <c r="P384" s="4">
        <f>[2]Sheet1!K384</f>
        <v>0.97</v>
      </c>
    </row>
    <row r="385" spans="1:16" x14ac:dyDescent="0.35">
      <c r="A385" t="s">
        <v>435</v>
      </c>
      <c r="B385" t="str">
        <f>TRIM([1]Sheet1!AD385)</f>
        <v>Phyllis Dawson</v>
      </c>
      <c r="C385" t="str">
        <f>IF(UPPER(LEFT([1]Sheet1!W385,1))="F","FEMALE","MALE")</f>
        <v>FEMALE</v>
      </c>
      <c r="E385" t="s">
        <v>35</v>
      </c>
      <c r="F385" t="s">
        <v>35</v>
      </c>
      <c r="G385" t="s">
        <v>11</v>
      </c>
      <c r="H385" t="s">
        <v>39</v>
      </c>
      <c r="I385" s="1">
        <v>0</v>
      </c>
      <c r="J385" s="1" t="str">
        <f t="shared" si="52"/>
        <v>0-5</v>
      </c>
      <c r="K385" s="1">
        <v>4.8</v>
      </c>
      <c r="L385" s="1" t="s">
        <v>1067</v>
      </c>
      <c r="M385" s="1" t="str">
        <f t="shared" si="54"/>
        <v>USD 20</v>
      </c>
      <c r="N385" s="1">
        <v>20</v>
      </c>
      <c r="O385" t="s">
        <v>1053</v>
      </c>
      <c r="P385" s="4">
        <f>[2]Sheet1!K385</f>
        <v>0.74</v>
      </c>
    </row>
    <row r="386" spans="1:16" x14ac:dyDescent="0.35">
      <c r="A386" t="s">
        <v>436</v>
      </c>
      <c r="B386" t="str">
        <f>TRIM([1]Sheet1!AD386)</f>
        <v>Renee Arnold</v>
      </c>
      <c r="C386" t="str">
        <f>IF(UPPER(LEFT([1]Sheet1!W386,1))="F","FEMALE","MALE")</f>
        <v>FEMALE</v>
      </c>
      <c r="D386">
        <v>39</v>
      </c>
      <c r="E386" t="s">
        <v>99</v>
      </c>
      <c r="F386" t="s">
        <v>99</v>
      </c>
      <c r="G386" t="s">
        <v>38</v>
      </c>
      <c r="H386" t="s">
        <v>8</v>
      </c>
      <c r="I386" s="1">
        <v>21</v>
      </c>
      <c r="J386" s="1" t="str">
        <f t="shared" ref="J386:J449" si="64">_xlfn.IFS(I386&lt;=5,"0-5",I386&lt;=10,"5-10",I386&lt;=16,"11-16",I386&lt;=20," 16-20",I386&lt;=25,"21- 25",I386&lt;=30,"26-30",I386&gt;30,"31+")</f>
        <v>21- 25</v>
      </c>
      <c r="K386" s="1">
        <v>4.7</v>
      </c>
      <c r="L386" s="1">
        <v>30</v>
      </c>
      <c r="M386" s="1">
        <f t="shared" si="54"/>
        <v>30</v>
      </c>
      <c r="N386" s="1">
        <f t="shared" ref="N386:N400" si="65">M386</f>
        <v>30</v>
      </c>
      <c r="O386" t="s">
        <v>1053</v>
      </c>
      <c r="P386" s="4">
        <f>[2]Sheet1!K386</f>
        <v>0.61</v>
      </c>
    </row>
    <row r="387" spans="1:16" x14ac:dyDescent="0.35">
      <c r="A387" t="s">
        <v>437</v>
      </c>
      <c r="B387" t="str">
        <f>TRIM([1]Sheet1!AD387)</f>
        <v>Eric Robinson</v>
      </c>
      <c r="C387" t="str">
        <f>IF(UPPER(LEFT([1]Sheet1!W387,1))="F","FEMALE","MALE")</f>
        <v>MALE</v>
      </c>
      <c r="D387">
        <v>59</v>
      </c>
      <c r="E387" t="s">
        <v>77</v>
      </c>
      <c r="F387" t="s">
        <v>77</v>
      </c>
      <c r="G387" t="s">
        <v>78</v>
      </c>
      <c r="H387" t="s">
        <v>8</v>
      </c>
      <c r="I387" s="1">
        <v>25</v>
      </c>
      <c r="J387" s="1" t="str">
        <f t="shared" si="64"/>
        <v>21- 25</v>
      </c>
      <c r="K387" s="1">
        <v>4</v>
      </c>
      <c r="L387" s="1">
        <v>20</v>
      </c>
      <c r="M387" s="1">
        <f t="shared" ref="M387:M450" si="66">L387</f>
        <v>20</v>
      </c>
      <c r="N387" s="1">
        <f t="shared" si="65"/>
        <v>20</v>
      </c>
      <c r="O387" t="s">
        <v>1053</v>
      </c>
      <c r="P387" s="4">
        <f>[2]Sheet1!K387</f>
        <v>0.9</v>
      </c>
    </row>
    <row r="388" spans="1:16" x14ac:dyDescent="0.35">
      <c r="A388" t="s">
        <v>438</v>
      </c>
      <c r="B388" t="str">
        <f>TRIM([1]Sheet1!AD388)</f>
        <v>Paul Brown</v>
      </c>
      <c r="C388" t="str">
        <f>IF(UPPER(LEFT([1]Sheet1!W388,1))="F","FEMALE","MALE")</f>
        <v>MALE</v>
      </c>
      <c r="D388">
        <v>21</v>
      </c>
      <c r="E388" t="s">
        <v>21</v>
      </c>
      <c r="F388" t="s">
        <v>21</v>
      </c>
      <c r="G388" t="s">
        <v>22</v>
      </c>
      <c r="H388" t="s">
        <v>48</v>
      </c>
      <c r="I388" s="1">
        <v>0</v>
      </c>
      <c r="J388" s="1" t="str">
        <f t="shared" si="64"/>
        <v>0-5</v>
      </c>
      <c r="K388" s="1">
        <v>4.0999999999999996</v>
      </c>
      <c r="L388" s="2">
        <v>40</v>
      </c>
      <c r="M388" s="1">
        <f t="shared" si="66"/>
        <v>40</v>
      </c>
      <c r="N388" s="1">
        <f t="shared" si="65"/>
        <v>40</v>
      </c>
      <c r="O388" t="s">
        <v>1054</v>
      </c>
      <c r="P388" s="4">
        <f>[2]Sheet1!K388</f>
        <v>0.97</v>
      </c>
    </row>
    <row r="389" spans="1:16" x14ac:dyDescent="0.35">
      <c r="A389" t="s">
        <v>439</v>
      </c>
      <c r="B389" t="str">
        <f>TRIM([1]Sheet1!AD389)</f>
        <v>Sarah Proctor</v>
      </c>
      <c r="C389" t="str">
        <f>IF(UPPER(LEFT([1]Sheet1!W389,1))="F","FEMALE","MALE")</f>
        <v>FEMALE</v>
      </c>
      <c r="D389">
        <v>23</v>
      </c>
      <c r="E389" t="s">
        <v>70</v>
      </c>
      <c r="F389" t="s">
        <v>70</v>
      </c>
      <c r="G389" t="s">
        <v>11</v>
      </c>
      <c r="H389" t="s">
        <v>48</v>
      </c>
      <c r="I389" s="1">
        <v>5</v>
      </c>
      <c r="J389" s="1" t="str">
        <f t="shared" si="64"/>
        <v>0-5</v>
      </c>
      <c r="K389" s="1">
        <v>3.2</v>
      </c>
      <c r="L389" s="1">
        <v>100</v>
      </c>
      <c r="M389" s="1">
        <f t="shared" si="66"/>
        <v>100</v>
      </c>
      <c r="N389" s="1">
        <f t="shared" si="65"/>
        <v>100</v>
      </c>
      <c r="O389" t="s">
        <v>1054</v>
      </c>
    </row>
    <row r="390" spans="1:16" x14ac:dyDescent="0.35">
      <c r="A390" t="s">
        <v>440</v>
      </c>
      <c r="B390" t="str">
        <f>TRIM([1]Sheet1!AD390)</f>
        <v>Matthew Hicks</v>
      </c>
      <c r="C390" t="str">
        <f>IF(UPPER(LEFT([1]Sheet1!W390,1))="F","FEMALE","MALE")</f>
        <v>MALE</v>
      </c>
      <c r="D390">
        <v>27</v>
      </c>
      <c r="E390" t="s">
        <v>77</v>
      </c>
      <c r="F390" t="s">
        <v>77</v>
      </c>
      <c r="G390" t="s">
        <v>78</v>
      </c>
      <c r="H390" t="s">
        <v>18</v>
      </c>
      <c r="I390" s="1">
        <v>1</v>
      </c>
      <c r="J390" s="1" t="str">
        <f t="shared" si="64"/>
        <v>0-5</v>
      </c>
      <c r="K390" s="1">
        <v>4.3</v>
      </c>
      <c r="L390" s="1">
        <v>20</v>
      </c>
      <c r="M390" s="1">
        <f t="shared" si="66"/>
        <v>20</v>
      </c>
      <c r="N390" s="1">
        <f t="shared" si="65"/>
        <v>20</v>
      </c>
      <c r="O390" t="s">
        <v>1053</v>
      </c>
      <c r="P390" s="4">
        <f>[2]Sheet1!K390</f>
        <v>0.76</v>
      </c>
    </row>
    <row r="391" spans="1:16" x14ac:dyDescent="0.35">
      <c r="A391" t="s">
        <v>441</v>
      </c>
      <c r="B391" t="str">
        <f>TRIM([1]Sheet1!AD391)</f>
        <v>Christopher Black</v>
      </c>
      <c r="C391" t="str">
        <f>IF(UPPER(LEFT([1]Sheet1!W391,1))="F","FEMALE","MALE")</f>
        <v>MALE</v>
      </c>
      <c r="D391">
        <v>27</v>
      </c>
      <c r="E391" t="s">
        <v>96</v>
      </c>
      <c r="F391" t="s">
        <v>96</v>
      </c>
      <c r="G391" t="s">
        <v>97</v>
      </c>
      <c r="H391" t="s">
        <v>41</v>
      </c>
      <c r="I391" s="1">
        <v>4</v>
      </c>
      <c r="J391" s="1" t="str">
        <f t="shared" si="64"/>
        <v>0-5</v>
      </c>
      <c r="K391" s="1">
        <v>4.4000000000000004</v>
      </c>
      <c r="L391" s="1">
        <v>40</v>
      </c>
      <c r="M391" s="1">
        <f t="shared" si="66"/>
        <v>40</v>
      </c>
      <c r="N391" s="1">
        <f t="shared" si="65"/>
        <v>40</v>
      </c>
      <c r="O391" t="s">
        <v>1053</v>
      </c>
      <c r="P391" s="4">
        <f>[2]Sheet1!K391</f>
        <v>0.92</v>
      </c>
    </row>
    <row r="392" spans="1:16" x14ac:dyDescent="0.35">
      <c r="A392" t="s">
        <v>442</v>
      </c>
      <c r="B392" t="str">
        <f>TRIM([1]Sheet1!AD392)</f>
        <v>Joanne Reyes</v>
      </c>
      <c r="C392" t="str">
        <f>IF(UPPER(LEFT([1]Sheet1!W392,1))="F","FEMALE","MALE")</f>
        <v>FEMALE</v>
      </c>
      <c r="D392">
        <v>48</v>
      </c>
      <c r="E392" t="s">
        <v>85</v>
      </c>
      <c r="F392" t="s">
        <v>85</v>
      </c>
      <c r="G392" t="s">
        <v>86</v>
      </c>
      <c r="H392" t="s">
        <v>27</v>
      </c>
      <c r="I392" s="1">
        <v>21</v>
      </c>
      <c r="J392" s="1" t="str">
        <f t="shared" si="64"/>
        <v>21- 25</v>
      </c>
      <c r="K392" s="1">
        <v>2.2999999999999998</v>
      </c>
      <c r="L392" s="1">
        <v>40</v>
      </c>
      <c r="M392" s="1">
        <f t="shared" si="66"/>
        <v>40</v>
      </c>
      <c r="N392" s="1">
        <f t="shared" si="65"/>
        <v>40</v>
      </c>
      <c r="O392" t="s">
        <v>1053</v>
      </c>
    </row>
    <row r="393" spans="1:16" x14ac:dyDescent="0.35">
      <c r="A393" t="s">
        <v>443</v>
      </c>
      <c r="B393" t="str">
        <f>TRIM([1]Sheet1!AD393)</f>
        <v>Isaac Gray</v>
      </c>
      <c r="C393" t="str">
        <f>IF(UPPER(LEFT([1]Sheet1!W393,1))="F","FEMALE","MALE")</f>
        <v>MALE</v>
      </c>
      <c r="D393">
        <v>21</v>
      </c>
      <c r="E393" t="s">
        <v>85</v>
      </c>
      <c r="F393" t="s">
        <v>85</v>
      </c>
      <c r="G393" t="s">
        <v>86</v>
      </c>
      <c r="H393" t="s">
        <v>23</v>
      </c>
      <c r="I393" s="1">
        <v>1</v>
      </c>
      <c r="J393" s="1" t="str">
        <f t="shared" si="64"/>
        <v>0-5</v>
      </c>
      <c r="K393" s="1">
        <v>2.4</v>
      </c>
      <c r="L393" s="2">
        <v>20</v>
      </c>
      <c r="M393" s="1">
        <f t="shared" si="66"/>
        <v>20</v>
      </c>
      <c r="N393" s="1">
        <f t="shared" si="65"/>
        <v>20</v>
      </c>
      <c r="O393" t="s">
        <v>1054</v>
      </c>
      <c r="P393" s="4">
        <f>[2]Sheet1!K393</f>
        <v>0.66</v>
      </c>
    </row>
    <row r="394" spans="1:16" x14ac:dyDescent="0.35">
      <c r="A394" t="s">
        <v>444</v>
      </c>
      <c r="B394" t="str">
        <f>TRIM([1]Sheet1!AD394)</f>
        <v>Joshua Roberts</v>
      </c>
      <c r="C394" t="str">
        <f>IF(UPPER(LEFT([1]Sheet1!W394,1))="F","FEMALE","MALE")</f>
        <v>MALE</v>
      </c>
      <c r="D394">
        <v>37</v>
      </c>
      <c r="E394" t="s">
        <v>6</v>
      </c>
      <c r="F394" t="s">
        <v>6</v>
      </c>
      <c r="G394" t="s">
        <v>7</v>
      </c>
      <c r="H394" t="s">
        <v>48</v>
      </c>
      <c r="J394" s="1" t="str">
        <f t="shared" si="64"/>
        <v>0-5</v>
      </c>
      <c r="K394" s="1">
        <v>4.5999999999999996</v>
      </c>
      <c r="L394" s="1">
        <v>50</v>
      </c>
      <c r="M394" s="1">
        <f t="shared" si="66"/>
        <v>50</v>
      </c>
      <c r="N394" s="1">
        <f t="shared" si="65"/>
        <v>50</v>
      </c>
      <c r="O394" t="s">
        <v>1053</v>
      </c>
      <c r="P394" s="4">
        <f>[2]Sheet1!K394</f>
        <v>0.83</v>
      </c>
    </row>
    <row r="395" spans="1:16" x14ac:dyDescent="0.35">
      <c r="A395" t="s">
        <v>445</v>
      </c>
      <c r="B395" t="str">
        <f>TRIM([1]Sheet1!AD395)</f>
        <v>Elizabeth Estrada</v>
      </c>
      <c r="C395" t="str">
        <f>IF(UPPER(LEFT([1]Sheet1!W395,1))="F","FEMALE","MALE")</f>
        <v>FEMALE</v>
      </c>
      <c r="D395">
        <v>31</v>
      </c>
      <c r="E395" t="s">
        <v>14</v>
      </c>
      <c r="F395" t="s">
        <v>14</v>
      </c>
      <c r="G395" t="s">
        <v>15</v>
      </c>
      <c r="H395" t="s">
        <v>39</v>
      </c>
      <c r="I395" s="1">
        <v>10</v>
      </c>
      <c r="J395" s="1" t="str">
        <f t="shared" si="64"/>
        <v>5-10</v>
      </c>
      <c r="K395" s="1">
        <v>0</v>
      </c>
      <c r="L395" s="1">
        <v>50</v>
      </c>
      <c r="M395" s="1">
        <f t="shared" si="66"/>
        <v>50</v>
      </c>
      <c r="N395" s="1">
        <f t="shared" si="65"/>
        <v>50</v>
      </c>
      <c r="O395" t="s">
        <v>1053</v>
      </c>
    </row>
    <row r="396" spans="1:16" x14ac:dyDescent="0.35">
      <c r="A396" t="s">
        <v>446</v>
      </c>
      <c r="B396" t="str">
        <f>TRIM([1]Sheet1!AD396)</f>
        <v>Lori Malone</v>
      </c>
      <c r="C396" t="str">
        <f>IF(UPPER(LEFT([1]Sheet1!W396,1))="F","FEMALE","MALE")</f>
        <v>FEMALE</v>
      </c>
      <c r="D396">
        <v>41</v>
      </c>
      <c r="E396" t="s">
        <v>77</v>
      </c>
      <c r="F396" t="s">
        <v>77</v>
      </c>
      <c r="G396" t="s">
        <v>78</v>
      </c>
      <c r="H396" t="s">
        <v>8</v>
      </c>
      <c r="I396" s="1">
        <v>21</v>
      </c>
      <c r="J396" s="1" t="str">
        <f t="shared" si="64"/>
        <v>21- 25</v>
      </c>
      <c r="K396" s="1">
        <v>0</v>
      </c>
      <c r="M396" s="1">
        <f t="shared" si="66"/>
        <v>0</v>
      </c>
      <c r="N396" s="1">
        <f t="shared" si="65"/>
        <v>0</v>
      </c>
      <c r="O396" t="s">
        <v>1054</v>
      </c>
    </row>
    <row r="397" spans="1:16" x14ac:dyDescent="0.35">
      <c r="A397" t="s">
        <v>447</v>
      </c>
      <c r="B397" t="str">
        <f>TRIM([1]Sheet1!AD397)</f>
        <v>Anthony Huynh MD</v>
      </c>
      <c r="C397" t="str">
        <f>IF(UPPER(LEFT([1]Sheet1!W397,1))="F","FEMALE","MALE")</f>
        <v>MALE</v>
      </c>
      <c r="D397">
        <v>31</v>
      </c>
      <c r="E397" t="s">
        <v>67</v>
      </c>
      <c r="F397" t="s">
        <v>67</v>
      </c>
      <c r="G397" t="s">
        <v>68</v>
      </c>
      <c r="H397" t="s">
        <v>41</v>
      </c>
      <c r="I397" s="1">
        <v>0</v>
      </c>
      <c r="J397" s="1" t="str">
        <f t="shared" si="64"/>
        <v>0-5</v>
      </c>
      <c r="K397" s="1">
        <v>4.2</v>
      </c>
      <c r="L397" s="2">
        <v>20</v>
      </c>
      <c r="M397" s="1">
        <f t="shared" si="66"/>
        <v>20</v>
      </c>
      <c r="N397" s="1">
        <f t="shared" si="65"/>
        <v>20</v>
      </c>
      <c r="O397" t="s">
        <v>1054</v>
      </c>
      <c r="P397" s="3">
        <f>[2]Sheet1!K397/100</f>
        <v>0.82</v>
      </c>
    </row>
    <row r="398" spans="1:16" x14ac:dyDescent="0.35">
      <c r="A398" t="s">
        <v>448</v>
      </c>
      <c r="B398" t="str">
        <f>TRIM([1]Sheet1!AD398)</f>
        <v>Mindy York</v>
      </c>
      <c r="C398" t="str">
        <f>IF(UPPER(LEFT([1]Sheet1!W398,1))="F","FEMALE","MALE")</f>
        <v>FEMALE</v>
      </c>
      <c r="D398">
        <v>58</v>
      </c>
      <c r="E398" t="s">
        <v>37</v>
      </c>
      <c r="F398" t="s">
        <v>37</v>
      </c>
      <c r="G398" t="s">
        <v>38</v>
      </c>
      <c r="H398" t="s">
        <v>27</v>
      </c>
      <c r="I398" s="1">
        <v>0</v>
      </c>
      <c r="J398" s="1" t="str">
        <f t="shared" si="64"/>
        <v>0-5</v>
      </c>
      <c r="K398" s="1">
        <v>2.2999999999999998</v>
      </c>
      <c r="L398" s="1">
        <v>50</v>
      </c>
      <c r="M398" s="1">
        <f t="shared" si="66"/>
        <v>50</v>
      </c>
      <c r="N398" s="1">
        <f t="shared" si="65"/>
        <v>50</v>
      </c>
      <c r="O398" t="s">
        <v>1053</v>
      </c>
      <c r="P398" s="4">
        <f>[2]Sheet1!K398</f>
        <v>0.77</v>
      </c>
    </row>
    <row r="399" spans="1:16" x14ac:dyDescent="0.35">
      <c r="A399" t="s">
        <v>449</v>
      </c>
      <c r="B399" t="str">
        <f>TRIM([1]Sheet1!AD399)</f>
        <v>Christine Cherry</v>
      </c>
      <c r="C399" t="str">
        <f>IF(UPPER(LEFT([1]Sheet1!W399,1))="F","FEMALE","MALE")</f>
        <v>FEMALE</v>
      </c>
      <c r="D399">
        <v>45</v>
      </c>
      <c r="E399" t="s">
        <v>21</v>
      </c>
      <c r="F399" t="s">
        <v>21</v>
      </c>
      <c r="G399" t="s">
        <v>22</v>
      </c>
      <c r="H399" t="s">
        <v>27</v>
      </c>
      <c r="I399" s="1">
        <v>17</v>
      </c>
      <c r="J399" s="1" t="str">
        <f t="shared" si="64"/>
        <v xml:space="preserve"> 16-20</v>
      </c>
      <c r="K399" s="1">
        <v>4.7</v>
      </c>
      <c r="L399" s="2">
        <v>50</v>
      </c>
      <c r="M399" s="1">
        <f t="shared" si="66"/>
        <v>50</v>
      </c>
      <c r="N399" s="1">
        <f t="shared" si="65"/>
        <v>50</v>
      </c>
      <c r="O399" t="s">
        <v>1054</v>
      </c>
      <c r="P399" s="4">
        <f>[2]Sheet1!K399</f>
        <v>0.73</v>
      </c>
    </row>
    <row r="400" spans="1:16" x14ac:dyDescent="0.35">
      <c r="A400" t="s">
        <v>450</v>
      </c>
      <c r="B400" t="str">
        <f>TRIM([1]Sheet1!AD400)</f>
        <v>Daniel Foster</v>
      </c>
      <c r="C400" t="str">
        <f>IF(UPPER(LEFT([1]Sheet1!W400,1))="F","FEMALE","MALE")</f>
        <v>MALE</v>
      </c>
      <c r="D400">
        <v>51</v>
      </c>
      <c r="E400" t="s">
        <v>60</v>
      </c>
      <c r="F400" t="s">
        <v>60</v>
      </c>
      <c r="G400" t="s">
        <v>61</v>
      </c>
      <c r="H400" t="s">
        <v>41</v>
      </c>
      <c r="I400" s="1">
        <v>5</v>
      </c>
      <c r="J400" s="1" t="str">
        <f t="shared" si="64"/>
        <v>0-5</v>
      </c>
      <c r="K400" s="1">
        <v>3</v>
      </c>
      <c r="M400" s="1">
        <f t="shared" si="66"/>
        <v>0</v>
      </c>
      <c r="N400" s="1">
        <f t="shared" si="65"/>
        <v>0</v>
      </c>
      <c r="O400" t="s">
        <v>1054</v>
      </c>
      <c r="P400" s="4">
        <f>[2]Sheet1!K400</f>
        <v>0.88</v>
      </c>
    </row>
    <row r="401" spans="1:16" x14ac:dyDescent="0.35">
      <c r="A401" t="s">
        <v>451</v>
      </c>
      <c r="B401" t="str">
        <f>TRIM([1]Sheet1!AD401)</f>
        <v>David Valencia</v>
      </c>
      <c r="C401" t="str">
        <f>IF(UPPER(LEFT([1]Sheet1!W401,1))="F","FEMALE","MALE")</f>
        <v>MALE</v>
      </c>
      <c r="D401">
        <v>54</v>
      </c>
      <c r="E401" t="s">
        <v>30</v>
      </c>
      <c r="F401" t="s">
        <v>30</v>
      </c>
      <c r="G401" t="s">
        <v>11</v>
      </c>
      <c r="H401" t="s">
        <v>39</v>
      </c>
      <c r="I401" s="1">
        <v>3</v>
      </c>
      <c r="J401" s="1" t="str">
        <f t="shared" si="64"/>
        <v>0-5</v>
      </c>
      <c r="K401" s="1">
        <v>2.4</v>
      </c>
      <c r="L401" s="1" t="s">
        <v>1066</v>
      </c>
      <c r="M401" s="1" t="str">
        <f t="shared" si="66"/>
        <v>USD 30</v>
      </c>
      <c r="N401" s="1">
        <v>30</v>
      </c>
      <c r="O401" t="s">
        <v>1053</v>
      </c>
      <c r="P401" s="4">
        <f>[2]Sheet1!K401</f>
        <v>0.81</v>
      </c>
    </row>
    <row r="402" spans="1:16" x14ac:dyDescent="0.35">
      <c r="A402" t="s">
        <v>452</v>
      </c>
      <c r="B402" t="str">
        <f>TRIM([1]Sheet1!AD402)</f>
        <v>Ethan Adams</v>
      </c>
      <c r="C402" t="str">
        <f>IF(UPPER(LEFT([1]Sheet1!W402,1))="F","FEMALE","MALE")</f>
        <v>MALE</v>
      </c>
      <c r="D402">
        <v>22</v>
      </c>
      <c r="E402" t="s">
        <v>67</v>
      </c>
      <c r="F402" t="s">
        <v>67</v>
      </c>
      <c r="G402" t="s">
        <v>68</v>
      </c>
      <c r="H402" t="s">
        <v>27</v>
      </c>
      <c r="I402" s="1">
        <v>1</v>
      </c>
      <c r="J402" s="1" t="str">
        <f t="shared" si="64"/>
        <v>0-5</v>
      </c>
      <c r="K402" s="1">
        <v>1.7</v>
      </c>
      <c r="L402" s="1">
        <v>20</v>
      </c>
      <c r="M402" s="1">
        <f t="shared" si="66"/>
        <v>20</v>
      </c>
      <c r="N402" s="1">
        <f t="shared" ref="N402:N408" si="67">M402</f>
        <v>20</v>
      </c>
      <c r="O402" t="s">
        <v>1053</v>
      </c>
      <c r="P402" s="4">
        <f>[2]Sheet1!K402</f>
        <v>0.78</v>
      </c>
    </row>
    <row r="403" spans="1:16" x14ac:dyDescent="0.35">
      <c r="A403" t="s">
        <v>453</v>
      </c>
      <c r="B403" t="str">
        <f>TRIM([1]Sheet1!AD403)</f>
        <v>Brett Moore</v>
      </c>
      <c r="C403" t="str">
        <f>IF(UPPER(LEFT([1]Sheet1!W403,1))="F","FEMALE","MALE")</f>
        <v>MALE</v>
      </c>
      <c r="D403">
        <v>36</v>
      </c>
      <c r="E403" t="s">
        <v>32</v>
      </c>
      <c r="F403" t="s">
        <v>32</v>
      </c>
      <c r="G403" t="s">
        <v>33</v>
      </c>
      <c r="H403" t="s">
        <v>41</v>
      </c>
      <c r="I403" s="1">
        <v>2</v>
      </c>
      <c r="J403" s="1" t="str">
        <f t="shared" si="64"/>
        <v>0-5</v>
      </c>
      <c r="K403" s="1">
        <v>0</v>
      </c>
      <c r="L403" s="1">
        <v>75</v>
      </c>
      <c r="M403" s="1">
        <f t="shared" si="66"/>
        <v>75</v>
      </c>
      <c r="N403" s="1">
        <f t="shared" si="67"/>
        <v>75</v>
      </c>
      <c r="O403" t="s">
        <v>1053</v>
      </c>
      <c r="P403" s="4">
        <f>[2]Sheet1!K403</f>
        <v>0.92</v>
      </c>
    </row>
    <row r="404" spans="1:16" x14ac:dyDescent="0.35">
      <c r="A404" t="s">
        <v>454</v>
      </c>
      <c r="B404" t="str">
        <f>TRIM([1]Sheet1!AD404)</f>
        <v>Phillip Griffin</v>
      </c>
      <c r="C404" t="str">
        <f>IF(UPPER(LEFT([1]Sheet1!W404,1))="F","FEMALE","MALE")</f>
        <v>MALE</v>
      </c>
      <c r="D404">
        <v>50</v>
      </c>
      <c r="E404" t="s">
        <v>14</v>
      </c>
      <c r="F404" t="s">
        <v>14</v>
      </c>
      <c r="G404" t="s">
        <v>15</v>
      </c>
      <c r="H404" t="s">
        <v>48</v>
      </c>
      <c r="I404" s="1">
        <v>32</v>
      </c>
      <c r="J404" s="1" t="str">
        <f t="shared" si="64"/>
        <v>31+</v>
      </c>
      <c r="L404" s="2">
        <v>30</v>
      </c>
      <c r="M404" s="1">
        <f t="shared" si="66"/>
        <v>30</v>
      </c>
      <c r="N404" s="1">
        <f t="shared" si="67"/>
        <v>30</v>
      </c>
      <c r="O404" t="s">
        <v>1053</v>
      </c>
      <c r="P404" s="4">
        <f>[2]Sheet1!K404</f>
        <v>0.64</v>
      </c>
    </row>
    <row r="405" spans="1:16" x14ac:dyDescent="0.35">
      <c r="A405" t="s">
        <v>455</v>
      </c>
      <c r="B405" t="str">
        <f>TRIM([1]Sheet1!AD405)</f>
        <v>Stacie Wall</v>
      </c>
      <c r="C405" t="str">
        <f>IF(UPPER(LEFT([1]Sheet1!W405,1))="F","FEMALE","MALE")</f>
        <v>FEMALE</v>
      </c>
      <c r="D405">
        <v>41</v>
      </c>
      <c r="E405" t="s">
        <v>10</v>
      </c>
      <c r="F405" t="s">
        <v>10</v>
      </c>
      <c r="G405" t="s">
        <v>11</v>
      </c>
      <c r="H405" t="s">
        <v>8</v>
      </c>
      <c r="I405" s="1">
        <v>14</v>
      </c>
      <c r="J405" s="1" t="str">
        <f t="shared" si="64"/>
        <v>11-16</v>
      </c>
      <c r="K405" s="1">
        <v>0</v>
      </c>
      <c r="L405" s="1">
        <v>30</v>
      </c>
      <c r="M405" s="1">
        <f t="shared" si="66"/>
        <v>30</v>
      </c>
      <c r="N405" s="1">
        <f t="shared" si="67"/>
        <v>30</v>
      </c>
      <c r="O405" t="s">
        <v>1054</v>
      </c>
      <c r="P405" s="4">
        <f>[2]Sheet1!K405</f>
        <v>0.78</v>
      </c>
    </row>
    <row r="406" spans="1:16" x14ac:dyDescent="0.35">
      <c r="A406" t="s">
        <v>456</v>
      </c>
      <c r="B406" t="str">
        <f>TRIM([1]Sheet1!AD406)</f>
        <v>Jacob Austin</v>
      </c>
      <c r="C406" t="str">
        <f>IF(UPPER(LEFT([1]Sheet1!W406,1))="F","FEMALE","MALE")</f>
        <v>MALE</v>
      </c>
      <c r="E406" t="s">
        <v>85</v>
      </c>
      <c r="F406" t="s">
        <v>85</v>
      </c>
      <c r="G406" t="s">
        <v>86</v>
      </c>
      <c r="H406" t="s">
        <v>18</v>
      </c>
      <c r="I406" s="1">
        <v>10</v>
      </c>
      <c r="J406" s="1" t="str">
        <f t="shared" si="64"/>
        <v>5-10</v>
      </c>
      <c r="K406" s="1">
        <v>1.8</v>
      </c>
      <c r="L406" s="1">
        <v>20</v>
      </c>
      <c r="M406" s="1">
        <f t="shared" si="66"/>
        <v>20</v>
      </c>
      <c r="N406" s="1">
        <f t="shared" si="67"/>
        <v>20</v>
      </c>
      <c r="O406" t="s">
        <v>1054</v>
      </c>
      <c r="P406" s="3">
        <f>[2]Sheet1!K406/100</f>
        <v>0.85</v>
      </c>
    </row>
    <row r="407" spans="1:16" x14ac:dyDescent="0.35">
      <c r="A407" t="s">
        <v>457</v>
      </c>
      <c r="B407" t="str">
        <f>TRIM([1]Sheet1!AD407)</f>
        <v>Sabrina Davidson</v>
      </c>
      <c r="C407" t="str">
        <f>IF(UPPER(LEFT([1]Sheet1!W407,1))="F","FEMALE","MALE")</f>
        <v>FEMALE</v>
      </c>
      <c r="D407">
        <v>51</v>
      </c>
      <c r="E407" t="s">
        <v>21</v>
      </c>
      <c r="F407" t="s">
        <v>21</v>
      </c>
      <c r="G407" t="s">
        <v>22</v>
      </c>
      <c r="H407" t="s">
        <v>41</v>
      </c>
      <c r="I407" s="1">
        <v>27</v>
      </c>
      <c r="J407" s="1" t="str">
        <f t="shared" si="64"/>
        <v>26-30</v>
      </c>
      <c r="K407" s="1">
        <v>0</v>
      </c>
      <c r="L407" s="2">
        <v>50</v>
      </c>
      <c r="M407" s="1">
        <f t="shared" si="66"/>
        <v>50</v>
      </c>
      <c r="N407" s="1">
        <f t="shared" si="67"/>
        <v>50</v>
      </c>
      <c r="O407" t="s">
        <v>1053</v>
      </c>
      <c r="P407" s="4">
        <f>[2]Sheet1!K407</f>
        <v>0.78</v>
      </c>
    </row>
    <row r="408" spans="1:16" x14ac:dyDescent="0.35">
      <c r="A408" t="s">
        <v>458</v>
      </c>
      <c r="B408" t="str">
        <f>TRIM([1]Sheet1!AD408)</f>
        <v>Dustin Douglas</v>
      </c>
      <c r="C408" t="str">
        <f>IF(UPPER(LEFT([1]Sheet1!W408,1))="F","FEMALE","MALE")</f>
        <v>MALE</v>
      </c>
      <c r="D408">
        <v>21</v>
      </c>
      <c r="E408" t="s">
        <v>74</v>
      </c>
      <c r="F408" t="s">
        <v>74</v>
      </c>
      <c r="G408" t="s">
        <v>75</v>
      </c>
      <c r="H408" t="s">
        <v>23</v>
      </c>
      <c r="I408" s="1">
        <v>2</v>
      </c>
      <c r="J408" s="1" t="str">
        <f t="shared" si="64"/>
        <v>0-5</v>
      </c>
      <c r="K408" s="1">
        <v>3.8</v>
      </c>
      <c r="L408" s="2">
        <v>30</v>
      </c>
      <c r="M408" s="1">
        <f t="shared" si="66"/>
        <v>30</v>
      </c>
      <c r="N408" s="1">
        <f t="shared" si="67"/>
        <v>30</v>
      </c>
      <c r="O408" t="s">
        <v>1054</v>
      </c>
      <c r="P408" s="4">
        <f>[2]Sheet1!K408</f>
        <v>0.98</v>
      </c>
    </row>
    <row r="409" spans="1:16" x14ac:dyDescent="0.35">
      <c r="A409" t="s">
        <v>459</v>
      </c>
      <c r="B409" t="str">
        <f>TRIM([1]Sheet1!AD409)</f>
        <v>Steven Norris</v>
      </c>
      <c r="C409" t="str">
        <f>IF(UPPER(LEFT([1]Sheet1!W409,1))="F","FEMALE","MALE")</f>
        <v>MALE</v>
      </c>
      <c r="D409">
        <v>51</v>
      </c>
      <c r="E409" t="s">
        <v>45</v>
      </c>
      <c r="F409" t="s">
        <v>45</v>
      </c>
      <c r="G409" t="s">
        <v>46</v>
      </c>
      <c r="H409" t="s">
        <v>23</v>
      </c>
      <c r="I409" s="1">
        <v>33</v>
      </c>
      <c r="J409" s="1" t="str">
        <f t="shared" si="64"/>
        <v>31+</v>
      </c>
      <c r="K409" s="1">
        <v>0</v>
      </c>
      <c r="L409" s="1" t="s">
        <v>1064</v>
      </c>
      <c r="M409" s="1" t="str">
        <f t="shared" si="66"/>
        <v>USD 40</v>
      </c>
      <c r="N409" s="1">
        <v>40</v>
      </c>
      <c r="O409" t="s">
        <v>1054</v>
      </c>
      <c r="P409" s="4">
        <f>[2]Sheet1!K409</f>
        <v>0.63</v>
      </c>
    </row>
    <row r="410" spans="1:16" x14ac:dyDescent="0.35">
      <c r="A410" t="s">
        <v>460</v>
      </c>
      <c r="B410" t="str">
        <f>TRIM([1]Sheet1!AD410)</f>
        <v>Mindy Sullivan</v>
      </c>
      <c r="C410" t="str">
        <f>IF(UPPER(LEFT([1]Sheet1!W410,1))="F","FEMALE","MALE")</f>
        <v>FEMALE</v>
      </c>
      <c r="D410">
        <v>37</v>
      </c>
      <c r="E410" t="s">
        <v>25</v>
      </c>
      <c r="F410" t="s">
        <v>25</v>
      </c>
      <c r="G410" t="s">
        <v>26</v>
      </c>
      <c r="H410" t="s">
        <v>16</v>
      </c>
      <c r="I410" s="1">
        <v>11</v>
      </c>
      <c r="J410" s="1" t="str">
        <f t="shared" si="64"/>
        <v>11-16</v>
      </c>
      <c r="K410" s="1">
        <v>3.6</v>
      </c>
      <c r="L410" s="1" t="s">
        <v>1064</v>
      </c>
      <c r="M410" s="1" t="str">
        <f t="shared" si="66"/>
        <v>USD 40</v>
      </c>
      <c r="N410" s="1">
        <v>40</v>
      </c>
      <c r="O410" t="s">
        <v>1053</v>
      </c>
      <c r="P410" s="4">
        <f>[2]Sheet1!K410</f>
        <v>0.73</v>
      </c>
    </row>
    <row r="411" spans="1:16" x14ac:dyDescent="0.35">
      <c r="A411" t="s">
        <v>461</v>
      </c>
      <c r="B411" t="str">
        <f>TRIM([1]Sheet1!AD411)</f>
        <v>Elizabeth Stone</v>
      </c>
      <c r="C411" t="str">
        <f>IF(UPPER(LEFT([1]Sheet1!W411,1))="F","FEMALE","MALE")</f>
        <v>FEMALE</v>
      </c>
      <c r="D411">
        <v>20</v>
      </c>
      <c r="E411" t="s">
        <v>105</v>
      </c>
      <c r="F411" t="s">
        <v>105</v>
      </c>
      <c r="G411" t="s">
        <v>38</v>
      </c>
      <c r="H411" t="s">
        <v>16</v>
      </c>
      <c r="I411" s="1">
        <v>2</v>
      </c>
      <c r="J411" s="1" t="str">
        <f t="shared" si="64"/>
        <v>0-5</v>
      </c>
      <c r="K411" s="1">
        <v>0</v>
      </c>
      <c r="L411" s="1">
        <v>30</v>
      </c>
      <c r="M411" s="1">
        <f t="shared" si="66"/>
        <v>30</v>
      </c>
      <c r="N411" s="1">
        <f t="shared" ref="N411:N419" si="68">M411</f>
        <v>30</v>
      </c>
      <c r="O411" t="s">
        <v>1053</v>
      </c>
      <c r="P411" s="4">
        <f>[2]Sheet1!K411</f>
        <v>0.94</v>
      </c>
    </row>
    <row r="412" spans="1:16" x14ac:dyDescent="0.35">
      <c r="A412" t="s">
        <v>462</v>
      </c>
      <c r="B412" t="str">
        <f>TRIM([1]Sheet1!AD412)</f>
        <v>Diane Flores</v>
      </c>
      <c r="C412" t="str">
        <f>IF(UPPER(LEFT([1]Sheet1!W412,1))="F","FEMALE","MALE")</f>
        <v>FEMALE</v>
      </c>
      <c r="D412">
        <v>50</v>
      </c>
      <c r="E412" t="s">
        <v>10</v>
      </c>
      <c r="F412" t="s">
        <v>10</v>
      </c>
      <c r="G412" t="s">
        <v>11</v>
      </c>
      <c r="H412" t="s">
        <v>18</v>
      </c>
      <c r="I412" s="1">
        <v>31</v>
      </c>
      <c r="J412" s="1" t="str">
        <f t="shared" si="64"/>
        <v>31+</v>
      </c>
      <c r="K412" s="1">
        <v>4.0999999999999996</v>
      </c>
      <c r="L412" s="2">
        <v>50</v>
      </c>
      <c r="M412" s="1">
        <f t="shared" si="66"/>
        <v>50</v>
      </c>
      <c r="N412" s="1">
        <f t="shared" si="68"/>
        <v>50</v>
      </c>
      <c r="P412" s="4">
        <f>[2]Sheet1!K412</f>
        <v>0.81</v>
      </c>
    </row>
    <row r="413" spans="1:16" x14ac:dyDescent="0.35">
      <c r="A413" t="s">
        <v>463</v>
      </c>
      <c r="B413" t="str">
        <f>TRIM([1]Sheet1!AD413)</f>
        <v>Jessica Erickson</v>
      </c>
      <c r="C413" t="str">
        <f>IF(UPPER(LEFT([1]Sheet1!W413,1))="F","FEMALE","MALE")</f>
        <v>FEMALE</v>
      </c>
      <c r="D413">
        <v>58</v>
      </c>
      <c r="E413" t="s">
        <v>32</v>
      </c>
      <c r="F413" t="s">
        <v>32</v>
      </c>
      <c r="G413" t="s">
        <v>33</v>
      </c>
      <c r="H413" t="s">
        <v>16</v>
      </c>
      <c r="I413" s="1">
        <v>17</v>
      </c>
      <c r="J413" s="1" t="str">
        <f t="shared" si="64"/>
        <v xml:space="preserve"> 16-20</v>
      </c>
      <c r="K413" s="1">
        <v>2.6</v>
      </c>
      <c r="L413" s="2">
        <v>50</v>
      </c>
      <c r="M413" s="1">
        <f t="shared" si="66"/>
        <v>50</v>
      </c>
      <c r="N413" s="1">
        <f t="shared" si="68"/>
        <v>50</v>
      </c>
      <c r="O413" t="s">
        <v>1054</v>
      </c>
      <c r="P413" s="4">
        <f>[2]Sheet1!K413</f>
        <v>0.61</v>
      </c>
    </row>
    <row r="414" spans="1:16" x14ac:dyDescent="0.35">
      <c r="A414" t="s">
        <v>464</v>
      </c>
      <c r="B414" t="str">
        <f>TRIM([1]Sheet1!AD414)</f>
        <v>Sara Moses</v>
      </c>
      <c r="C414" t="str">
        <f>IF(UPPER(LEFT([1]Sheet1!W414,1))="F","FEMALE","MALE")</f>
        <v>FEMALE</v>
      </c>
      <c r="D414">
        <v>40</v>
      </c>
      <c r="E414" t="s">
        <v>57</v>
      </c>
      <c r="F414" t="s">
        <v>57</v>
      </c>
      <c r="G414" t="s">
        <v>58</v>
      </c>
      <c r="H414" t="s">
        <v>39</v>
      </c>
      <c r="I414" s="1">
        <v>2</v>
      </c>
      <c r="J414" s="1" t="str">
        <f t="shared" si="64"/>
        <v>0-5</v>
      </c>
      <c r="K414" s="1">
        <v>0</v>
      </c>
      <c r="L414" s="2">
        <v>100</v>
      </c>
      <c r="M414" s="1">
        <f t="shared" si="66"/>
        <v>100</v>
      </c>
      <c r="N414" s="1">
        <f t="shared" si="68"/>
        <v>100</v>
      </c>
      <c r="O414" t="s">
        <v>1053</v>
      </c>
    </row>
    <row r="415" spans="1:16" x14ac:dyDescent="0.35">
      <c r="A415" t="s">
        <v>465</v>
      </c>
      <c r="B415" t="str">
        <f>TRIM([1]Sheet1!AD415)</f>
        <v>Allison Henderson</v>
      </c>
      <c r="C415" t="str">
        <f>IF(UPPER(LEFT([1]Sheet1!W415,1))="F","FEMALE","MALE")</f>
        <v>FEMALE</v>
      </c>
      <c r="D415">
        <v>26</v>
      </c>
      <c r="E415" t="s">
        <v>77</v>
      </c>
      <c r="F415" t="s">
        <v>77</v>
      </c>
      <c r="G415" t="s">
        <v>78</v>
      </c>
      <c r="H415" t="s">
        <v>18</v>
      </c>
      <c r="I415" s="1">
        <v>2</v>
      </c>
      <c r="J415" s="1" t="str">
        <f t="shared" si="64"/>
        <v>0-5</v>
      </c>
      <c r="K415" s="1">
        <v>1.3</v>
      </c>
      <c r="L415" s="1">
        <v>20</v>
      </c>
      <c r="M415" s="1">
        <f t="shared" si="66"/>
        <v>20</v>
      </c>
      <c r="N415" s="1">
        <f t="shared" si="68"/>
        <v>20</v>
      </c>
      <c r="O415" t="s">
        <v>1053</v>
      </c>
      <c r="P415" s="4">
        <f>[2]Sheet1!K415</f>
        <v>0.83</v>
      </c>
    </row>
    <row r="416" spans="1:16" x14ac:dyDescent="0.35">
      <c r="A416" t="s">
        <v>466</v>
      </c>
      <c r="B416" t="str">
        <f>TRIM([1]Sheet1!AD416)</f>
        <v>Susan Dixon</v>
      </c>
      <c r="C416" t="str">
        <f>IF(UPPER(LEFT([1]Sheet1!W416,1))="F","FEMALE","MALE")</f>
        <v>FEMALE</v>
      </c>
      <c r="D416">
        <v>44</v>
      </c>
      <c r="E416" t="s">
        <v>60</v>
      </c>
      <c r="F416" t="s">
        <v>60</v>
      </c>
      <c r="G416" t="s">
        <v>61</v>
      </c>
      <c r="H416" t="s">
        <v>41</v>
      </c>
      <c r="I416" s="1">
        <v>22</v>
      </c>
      <c r="J416" s="1" t="str">
        <f t="shared" si="64"/>
        <v>21- 25</v>
      </c>
      <c r="K416" s="1">
        <v>4.0999999999999996</v>
      </c>
      <c r="L416" s="1">
        <v>30</v>
      </c>
      <c r="M416" s="1">
        <f t="shared" si="66"/>
        <v>30</v>
      </c>
      <c r="N416" s="1">
        <f t="shared" si="68"/>
        <v>30</v>
      </c>
      <c r="O416" t="s">
        <v>1054</v>
      </c>
    </row>
    <row r="417" spans="1:16" x14ac:dyDescent="0.35">
      <c r="A417" t="s">
        <v>467</v>
      </c>
      <c r="B417" t="str">
        <f>TRIM([1]Sheet1!AD417)</f>
        <v>David Morrison</v>
      </c>
      <c r="C417" t="str">
        <f>IF(UPPER(LEFT([1]Sheet1!W417,1))="F","FEMALE","MALE")</f>
        <v>MALE</v>
      </c>
      <c r="D417">
        <v>42</v>
      </c>
      <c r="E417" t="s">
        <v>99</v>
      </c>
      <c r="F417" t="s">
        <v>99</v>
      </c>
      <c r="G417" t="s">
        <v>38</v>
      </c>
      <c r="H417" t="s">
        <v>62</v>
      </c>
      <c r="I417" s="1">
        <v>8</v>
      </c>
      <c r="J417" s="1" t="str">
        <f t="shared" si="64"/>
        <v>5-10</v>
      </c>
      <c r="K417" s="1">
        <v>2.4</v>
      </c>
      <c r="L417" s="2">
        <v>50</v>
      </c>
      <c r="M417" s="1">
        <f t="shared" si="66"/>
        <v>50</v>
      </c>
      <c r="N417" s="1">
        <f t="shared" si="68"/>
        <v>50</v>
      </c>
      <c r="O417" t="s">
        <v>1053</v>
      </c>
      <c r="P417" s="4">
        <f>[2]Sheet1!K417</f>
        <v>0.68</v>
      </c>
    </row>
    <row r="418" spans="1:16" x14ac:dyDescent="0.35">
      <c r="A418" t="s">
        <v>468</v>
      </c>
      <c r="B418" t="str">
        <f>TRIM([1]Sheet1!AD418)</f>
        <v>Jason Carter</v>
      </c>
      <c r="C418" t="str">
        <f>IF(UPPER(LEFT([1]Sheet1!W418,1))="F","FEMALE","MALE")</f>
        <v>MALE</v>
      </c>
      <c r="D418">
        <v>38</v>
      </c>
      <c r="E418" t="s">
        <v>99</v>
      </c>
      <c r="F418" t="s">
        <v>99</v>
      </c>
      <c r="G418" t="s">
        <v>38</v>
      </c>
      <c r="H418" t="s">
        <v>27</v>
      </c>
      <c r="I418" s="1">
        <v>9</v>
      </c>
      <c r="J418" s="1" t="str">
        <f t="shared" si="64"/>
        <v>5-10</v>
      </c>
      <c r="K418" s="1">
        <v>0</v>
      </c>
      <c r="L418" s="2">
        <v>50</v>
      </c>
      <c r="M418" s="1">
        <f t="shared" si="66"/>
        <v>50</v>
      </c>
      <c r="N418" s="1">
        <f t="shared" si="68"/>
        <v>50</v>
      </c>
      <c r="O418" t="s">
        <v>1053</v>
      </c>
      <c r="P418" s="4">
        <f>[2]Sheet1!K418</f>
        <v>0.74</v>
      </c>
    </row>
    <row r="419" spans="1:16" x14ac:dyDescent="0.35">
      <c r="A419" t="s">
        <v>469</v>
      </c>
      <c r="B419" t="str">
        <f>TRIM([1]Sheet1!AD419)</f>
        <v>James Jacobs</v>
      </c>
      <c r="C419" t="str">
        <f>IF(UPPER(LEFT([1]Sheet1!W419,1))="F","FEMALE","MALE")</f>
        <v>MALE</v>
      </c>
      <c r="D419">
        <v>51</v>
      </c>
      <c r="E419" t="s">
        <v>77</v>
      </c>
      <c r="F419" t="s">
        <v>77</v>
      </c>
      <c r="G419" t="s">
        <v>78</v>
      </c>
      <c r="H419" t="s">
        <v>18</v>
      </c>
      <c r="I419" s="1">
        <v>32</v>
      </c>
      <c r="J419" s="1" t="str">
        <f t="shared" si="64"/>
        <v>31+</v>
      </c>
      <c r="K419" s="1">
        <v>4.4000000000000004</v>
      </c>
      <c r="L419" s="1">
        <v>100</v>
      </c>
      <c r="M419" s="1">
        <f t="shared" si="66"/>
        <v>100</v>
      </c>
      <c r="N419" s="1">
        <f t="shared" si="68"/>
        <v>100</v>
      </c>
      <c r="O419" t="s">
        <v>1053</v>
      </c>
      <c r="P419" s="3">
        <f>[2]Sheet1!K419/100</f>
        <v>0.91</v>
      </c>
    </row>
    <row r="420" spans="1:16" x14ac:dyDescent="0.35">
      <c r="A420" t="s">
        <v>470</v>
      </c>
      <c r="B420" t="str">
        <f>TRIM([1]Sheet1!AD420)</f>
        <v>Kathleen Quinn</v>
      </c>
      <c r="C420" t="str">
        <f>IF(UPPER(LEFT([1]Sheet1!W420,1))="F","FEMALE","MALE")</f>
        <v>FEMALE</v>
      </c>
      <c r="D420">
        <v>36</v>
      </c>
      <c r="E420" t="s">
        <v>74</v>
      </c>
      <c r="F420" t="s">
        <v>74</v>
      </c>
      <c r="G420" t="s">
        <v>75</v>
      </c>
      <c r="H420" t="s">
        <v>23</v>
      </c>
      <c r="I420" s="1">
        <v>8</v>
      </c>
      <c r="J420" s="1" t="str">
        <f t="shared" si="64"/>
        <v>5-10</v>
      </c>
      <c r="K420" s="1">
        <v>2.2000000000000002</v>
      </c>
      <c r="L420" s="1" t="s">
        <v>1062</v>
      </c>
      <c r="M420" s="1" t="str">
        <f t="shared" si="66"/>
        <v>USD 100</v>
      </c>
      <c r="N420" s="1">
        <v>100</v>
      </c>
      <c r="O420" t="s">
        <v>1054</v>
      </c>
      <c r="P420" s="4">
        <f>[2]Sheet1!K420</f>
        <v>0.97</v>
      </c>
    </row>
    <row r="421" spans="1:16" x14ac:dyDescent="0.35">
      <c r="A421" t="s">
        <v>471</v>
      </c>
      <c r="B421" t="str">
        <f>TRIM([1]Sheet1!AD421)</f>
        <v>Natalie Frank MD</v>
      </c>
      <c r="C421" t="str">
        <f>IF(UPPER(LEFT([1]Sheet1!W421,1))="F","FEMALE","MALE")</f>
        <v>FEMALE</v>
      </c>
      <c r="D421">
        <v>37</v>
      </c>
      <c r="E421" t="s">
        <v>10</v>
      </c>
      <c r="F421" t="s">
        <v>10</v>
      </c>
      <c r="G421" t="s">
        <v>11</v>
      </c>
      <c r="H421" t="s">
        <v>12</v>
      </c>
      <c r="I421" s="1">
        <v>10</v>
      </c>
      <c r="J421" s="1" t="str">
        <f t="shared" si="64"/>
        <v>5-10</v>
      </c>
      <c r="K421" s="1">
        <v>0</v>
      </c>
      <c r="L421" s="1">
        <v>30</v>
      </c>
      <c r="M421" s="1">
        <f t="shared" si="66"/>
        <v>30</v>
      </c>
      <c r="N421" s="1">
        <f t="shared" ref="N421:N432" si="69">M421</f>
        <v>30</v>
      </c>
      <c r="O421" t="s">
        <v>1053</v>
      </c>
      <c r="P421" s="4">
        <f>[2]Sheet1!K421</f>
        <v>0.96</v>
      </c>
    </row>
    <row r="422" spans="1:16" x14ac:dyDescent="0.35">
      <c r="A422" t="s">
        <v>472</v>
      </c>
      <c r="B422" t="str">
        <f>TRIM([1]Sheet1!AD422)</f>
        <v>Michael Reed</v>
      </c>
      <c r="C422" t="str">
        <f>IF(UPPER(LEFT([1]Sheet1!W422,1))="F","FEMALE","MALE")</f>
        <v>MALE</v>
      </c>
      <c r="D422">
        <v>31</v>
      </c>
      <c r="E422" t="s">
        <v>85</v>
      </c>
      <c r="F422" t="s">
        <v>85</v>
      </c>
      <c r="G422" t="s">
        <v>86</v>
      </c>
      <c r="H422" t="s">
        <v>48</v>
      </c>
      <c r="I422" s="1">
        <v>0</v>
      </c>
      <c r="J422" s="1" t="str">
        <f t="shared" si="64"/>
        <v>0-5</v>
      </c>
      <c r="K422" s="1">
        <v>1.1000000000000001</v>
      </c>
      <c r="L422" s="1">
        <v>50</v>
      </c>
      <c r="M422" s="1">
        <f t="shared" si="66"/>
        <v>50</v>
      </c>
      <c r="N422" s="1">
        <f t="shared" si="69"/>
        <v>50</v>
      </c>
      <c r="O422" t="s">
        <v>1054</v>
      </c>
      <c r="P422" s="4">
        <f>[2]Sheet1!K422</f>
        <v>0.73</v>
      </c>
    </row>
    <row r="423" spans="1:16" x14ac:dyDescent="0.35">
      <c r="A423" t="s">
        <v>473</v>
      </c>
      <c r="B423" t="str">
        <f>TRIM([1]Sheet1!AD423)</f>
        <v>Sheila Smith</v>
      </c>
      <c r="C423" t="str">
        <f>IF(UPPER(LEFT([1]Sheet1!W423,1))="F","FEMALE","MALE")</f>
        <v>FEMALE</v>
      </c>
      <c r="D423">
        <v>47</v>
      </c>
      <c r="E423" t="s">
        <v>50</v>
      </c>
      <c r="F423" t="s">
        <v>50</v>
      </c>
      <c r="G423" t="s">
        <v>51</v>
      </c>
      <c r="H423" t="s">
        <v>41</v>
      </c>
      <c r="I423" s="1">
        <v>22</v>
      </c>
      <c r="J423" s="1" t="str">
        <f t="shared" si="64"/>
        <v>21- 25</v>
      </c>
      <c r="K423" s="1">
        <v>1.4</v>
      </c>
      <c r="M423" s="1">
        <f t="shared" si="66"/>
        <v>0</v>
      </c>
      <c r="N423" s="1">
        <f t="shared" si="69"/>
        <v>0</v>
      </c>
      <c r="O423" t="s">
        <v>1054</v>
      </c>
      <c r="P423" s="4">
        <f>[2]Sheet1!K423</f>
        <v>0.72</v>
      </c>
    </row>
    <row r="424" spans="1:16" x14ac:dyDescent="0.35">
      <c r="A424" t="s">
        <v>474</v>
      </c>
      <c r="B424" t="str">
        <f>TRIM([1]Sheet1!AD424)</f>
        <v>Morgan Ford</v>
      </c>
      <c r="C424" t="str">
        <f>IF(UPPER(LEFT([1]Sheet1!W424,1))="F","FEMALE","MALE")</f>
        <v>FEMALE</v>
      </c>
      <c r="D424">
        <v>60</v>
      </c>
      <c r="E424" t="s">
        <v>99</v>
      </c>
      <c r="F424" t="s">
        <v>99</v>
      </c>
      <c r="G424" t="s">
        <v>38</v>
      </c>
      <c r="H424" t="s">
        <v>39</v>
      </c>
      <c r="I424" s="1">
        <v>34</v>
      </c>
      <c r="J424" s="1" t="str">
        <f t="shared" si="64"/>
        <v>31+</v>
      </c>
      <c r="K424" s="1">
        <v>0</v>
      </c>
      <c r="L424" s="2">
        <v>100</v>
      </c>
      <c r="M424" s="1">
        <f t="shared" si="66"/>
        <v>100</v>
      </c>
      <c r="N424" s="1">
        <f t="shared" si="69"/>
        <v>100</v>
      </c>
      <c r="O424" t="s">
        <v>1054</v>
      </c>
      <c r="P424" s="4">
        <f>[2]Sheet1!K424</f>
        <v>0.74</v>
      </c>
    </row>
    <row r="425" spans="1:16" x14ac:dyDescent="0.35">
      <c r="A425" t="s">
        <v>475</v>
      </c>
      <c r="B425" t="str">
        <f>TRIM([1]Sheet1!AD425)</f>
        <v>Linda Schultz</v>
      </c>
      <c r="C425" t="str">
        <f>IF(UPPER(LEFT([1]Sheet1!W425,1))="F","FEMALE","MALE")</f>
        <v>FEMALE</v>
      </c>
      <c r="D425">
        <v>48</v>
      </c>
      <c r="E425" t="s">
        <v>37</v>
      </c>
      <c r="F425" t="s">
        <v>37</v>
      </c>
      <c r="G425" t="s">
        <v>38</v>
      </c>
      <c r="H425" t="s">
        <v>12</v>
      </c>
      <c r="I425" s="1">
        <v>5</v>
      </c>
      <c r="J425" s="1" t="str">
        <f t="shared" si="64"/>
        <v>0-5</v>
      </c>
      <c r="K425" s="1">
        <v>1.5</v>
      </c>
      <c r="L425" s="1">
        <v>30</v>
      </c>
      <c r="M425" s="1">
        <f t="shared" si="66"/>
        <v>30</v>
      </c>
      <c r="N425" s="1">
        <f t="shared" si="69"/>
        <v>30</v>
      </c>
      <c r="O425" t="s">
        <v>1053</v>
      </c>
    </row>
    <row r="426" spans="1:16" x14ac:dyDescent="0.35">
      <c r="A426" t="s">
        <v>476</v>
      </c>
      <c r="B426" t="str">
        <f>TRIM([1]Sheet1!AD426)</f>
        <v>Regina Daniel</v>
      </c>
      <c r="C426" t="str">
        <f>IF(UPPER(LEFT([1]Sheet1!W426,1))="F","FEMALE","MALE")</f>
        <v>FEMALE</v>
      </c>
      <c r="D426">
        <v>24</v>
      </c>
      <c r="E426" t="s">
        <v>50</v>
      </c>
      <c r="F426" t="s">
        <v>50</v>
      </c>
      <c r="G426" t="s">
        <v>51</v>
      </c>
      <c r="H426" t="s">
        <v>23</v>
      </c>
      <c r="I426" s="1">
        <v>3</v>
      </c>
      <c r="J426" s="1" t="str">
        <f t="shared" si="64"/>
        <v>0-5</v>
      </c>
      <c r="K426" s="1">
        <v>0</v>
      </c>
      <c r="L426" s="1">
        <v>20</v>
      </c>
      <c r="M426" s="1">
        <f t="shared" si="66"/>
        <v>20</v>
      </c>
      <c r="N426" s="1">
        <f t="shared" si="69"/>
        <v>20</v>
      </c>
      <c r="O426" t="s">
        <v>1054</v>
      </c>
    </row>
    <row r="427" spans="1:16" x14ac:dyDescent="0.35">
      <c r="A427" t="s">
        <v>477</v>
      </c>
      <c r="B427" t="str">
        <f>TRIM([1]Sheet1!AD427)</f>
        <v>Allison Perkins</v>
      </c>
      <c r="C427" t="str">
        <f>IF(UPPER(LEFT([1]Sheet1!W427,1))="F","FEMALE","MALE")</f>
        <v>FEMALE</v>
      </c>
      <c r="D427">
        <v>35</v>
      </c>
      <c r="E427" t="s">
        <v>21</v>
      </c>
      <c r="F427" t="s">
        <v>21</v>
      </c>
      <c r="G427" t="s">
        <v>22</v>
      </c>
      <c r="H427" t="s">
        <v>62</v>
      </c>
      <c r="I427" s="1">
        <v>10</v>
      </c>
      <c r="J427" s="1" t="str">
        <f t="shared" si="64"/>
        <v>5-10</v>
      </c>
      <c r="K427" s="1">
        <v>0</v>
      </c>
      <c r="L427" s="1">
        <v>75</v>
      </c>
      <c r="M427" s="1">
        <f t="shared" si="66"/>
        <v>75</v>
      </c>
      <c r="N427" s="1">
        <f t="shared" si="69"/>
        <v>75</v>
      </c>
      <c r="P427" s="4">
        <f>[2]Sheet1!K427</f>
        <v>0.74</v>
      </c>
    </row>
    <row r="428" spans="1:16" x14ac:dyDescent="0.35">
      <c r="A428" t="s">
        <v>478</v>
      </c>
      <c r="B428" t="str">
        <f>TRIM([1]Sheet1!AD428)</f>
        <v>Bradley Weaver</v>
      </c>
      <c r="C428" t="str">
        <f>IF(UPPER(LEFT([1]Sheet1!W428,1))="F","FEMALE","MALE")</f>
        <v>MALE</v>
      </c>
      <c r="D428">
        <v>35</v>
      </c>
      <c r="E428" t="s">
        <v>30</v>
      </c>
      <c r="F428" t="s">
        <v>30</v>
      </c>
      <c r="G428" t="s">
        <v>11</v>
      </c>
      <c r="H428" t="s">
        <v>48</v>
      </c>
      <c r="J428" s="1" t="str">
        <f t="shared" si="64"/>
        <v>0-5</v>
      </c>
      <c r="K428" s="1">
        <v>3.5</v>
      </c>
      <c r="L428" s="1">
        <v>100</v>
      </c>
      <c r="M428" s="1">
        <f t="shared" si="66"/>
        <v>100</v>
      </c>
      <c r="N428" s="1">
        <f t="shared" si="69"/>
        <v>100</v>
      </c>
      <c r="O428" t="s">
        <v>1054</v>
      </c>
      <c r="P428" s="4">
        <f>[2]Sheet1!K428</f>
        <v>0.71</v>
      </c>
    </row>
    <row r="429" spans="1:16" x14ac:dyDescent="0.35">
      <c r="A429" t="s">
        <v>479</v>
      </c>
      <c r="B429" t="str">
        <f>TRIM([1]Sheet1!AD429)</f>
        <v>Sarah Hall</v>
      </c>
      <c r="C429" t="str">
        <f>IF(UPPER(LEFT([1]Sheet1!W429,1))="F","FEMALE","MALE")</f>
        <v>FEMALE</v>
      </c>
      <c r="D429">
        <v>29</v>
      </c>
      <c r="E429" t="s">
        <v>21</v>
      </c>
      <c r="F429" t="s">
        <v>21</v>
      </c>
      <c r="G429" t="s">
        <v>22</v>
      </c>
      <c r="H429" t="s">
        <v>39</v>
      </c>
      <c r="I429" s="1">
        <v>6</v>
      </c>
      <c r="J429" s="1" t="str">
        <f t="shared" si="64"/>
        <v>5-10</v>
      </c>
      <c r="K429" s="1">
        <v>4.8</v>
      </c>
      <c r="M429" s="1">
        <f t="shared" si="66"/>
        <v>0</v>
      </c>
      <c r="N429" s="1">
        <f t="shared" si="69"/>
        <v>0</v>
      </c>
      <c r="O429" t="s">
        <v>1053</v>
      </c>
      <c r="P429" s="4">
        <f>[2]Sheet1!K429</f>
        <v>0.83</v>
      </c>
    </row>
    <row r="430" spans="1:16" x14ac:dyDescent="0.35">
      <c r="A430" t="s">
        <v>480</v>
      </c>
      <c r="B430" t="str">
        <f>TRIM([1]Sheet1!AD430)</f>
        <v>Diana Walton</v>
      </c>
      <c r="C430" t="str">
        <f>IF(UPPER(LEFT([1]Sheet1!W430,1))="F","FEMALE","MALE")</f>
        <v>FEMALE</v>
      </c>
      <c r="D430">
        <v>36</v>
      </c>
      <c r="E430" t="s">
        <v>6</v>
      </c>
      <c r="F430" t="s">
        <v>6</v>
      </c>
      <c r="G430" t="s">
        <v>7</v>
      </c>
      <c r="H430" t="s">
        <v>62</v>
      </c>
      <c r="I430" s="1">
        <v>1</v>
      </c>
      <c r="J430" s="1" t="str">
        <f t="shared" si="64"/>
        <v>0-5</v>
      </c>
      <c r="L430" s="2">
        <v>75</v>
      </c>
      <c r="M430" s="1">
        <f t="shared" si="66"/>
        <v>75</v>
      </c>
      <c r="N430" s="1">
        <f t="shared" si="69"/>
        <v>75</v>
      </c>
      <c r="P430" s="4">
        <f>[2]Sheet1!K430</f>
        <v>0.63</v>
      </c>
    </row>
    <row r="431" spans="1:16" x14ac:dyDescent="0.35">
      <c r="A431" t="s">
        <v>481</v>
      </c>
      <c r="B431" t="str">
        <f>TRIM([1]Sheet1!AD431)</f>
        <v>Donna Davis</v>
      </c>
      <c r="C431" t="str">
        <f>IF(UPPER(LEFT([1]Sheet1!W431,1))="F","FEMALE","MALE")</f>
        <v>FEMALE</v>
      </c>
      <c r="D431">
        <v>44</v>
      </c>
      <c r="E431" t="s">
        <v>70</v>
      </c>
      <c r="F431" t="s">
        <v>70</v>
      </c>
      <c r="G431" t="s">
        <v>11</v>
      </c>
      <c r="H431" t="s">
        <v>23</v>
      </c>
      <c r="I431" s="1">
        <v>0</v>
      </c>
      <c r="J431" s="1" t="str">
        <f t="shared" si="64"/>
        <v>0-5</v>
      </c>
      <c r="K431" s="1">
        <v>4.8</v>
      </c>
      <c r="M431" s="1">
        <f t="shared" si="66"/>
        <v>0</v>
      </c>
      <c r="N431" s="1">
        <f t="shared" si="69"/>
        <v>0</v>
      </c>
      <c r="P431" s="4">
        <f>[2]Sheet1!K431</f>
        <v>0.84</v>
      </c>
    </row>
    <row r="432" spans="1:16" x14ac:dyDescent="0.35">
      <c r="A432" t="s">
        <v>482</v>
      </c>
      <c r="B432" t="str">
        <f>TRIM([1]Sheet1!AD432)</f>
        <v>Christopher Mcclain</v>
      </c>
      <c r="C432" t="str">
        <f>IF(UPPER(LEFT([1]Sheet1!W432,1))="F","FEMALE","MALE")</f>
        <v>MALE</v>
      </c>
      <c r="D432">
        <v>44</v>
      </c>
      <c r="E432" t="s">
        <v>85</v>
      </c>
      <c r="F432" t="s">
        <v>85</v>
      </c>
      <c r="G432" t="s">
        <v>86</v>
      </c>
      <c r="H432" t="s">
        <v>18</v>
      </c>
      <c r="J432" s="1" t="str">
        <f t="shared" si="64"/>
        <v>0-5</v>
      </c>
      <c r="K432" s="1">
        <v>1.4</v>
      </c>
      <c r="M432" s="1">
        <f t="shared" si="66"/>
        <v>0</v>
      </c>
      <c r="N432" s="1">
        <f t="shared" si="69"/>
        <v>0</v>
      </c>
      <c r="O432" t="s">
        <v>1053</v>
      </c>
      <c r="P432" s="4">
        <f>[2]Sheet1!K432</f>
        <v>0.93</v>
      </c>
    </row>
    <row r="433" spans="1:16" x14ac:dyDescent="0.35">
      <c r="A433" t="s">
        <v>483</v>
      </c>
      <c r="B433" t="str">
        <f>TRIM([1]Sheet1!AD433)</f>
        <v>Paul Williamson</v>
      </c>
      <c r="C433" t="str">
        <f>IF(UPPER(LEFT([1]Sheet1!W433,1))="F","FEMALE","MALE")</f>
        <v>MALE</v>
      </c>
      <c r="D433">
        <v>40</v>
      </c>
      <c r="E433" t="s">
        <v>50</v>
      </c>
      <c r="F433" t="s">
        <v>50</v>
      </c>
      <c r="G433" t="s">
        <v>51</v>
      </c>
      <c r="H433" t="s">
        <v>23</v>
      </c>
      <c r="I433" s="1">
        <v>13</v>
      </c>
      <c r="J433" s="1" t="str">
        <f t="shared" si="64"/>
        <v>11-16</v>
      </c>
      <c r="K433" s="1">
        <v>1.1000000000000001</v>
      </c>
      <c r="L433" s="1" t="s">
        <v>1062</v>
      </c>
      <c r="M433" s="1" t="str">
        <f t="shared" si="66"/>
        <v>USD 100</v>
      </c>
      <c r="N433" s="1">
        <v>100</v>
      </c>
      <c r="O433" t="s">
        <v>1054</v>
      </c>
    </row>
    <row r="434" spans="1:16" x14ac:dyDescent="0.35">
      <c r="A434" t="s">
        <v>484</v>
      </c>
      <c r="B434" t="str">
        <f>TRIM([1]Sheet1!AD434)</f>
        <v>Barbara Brown</v>
      </c>
      <c r="C434" t="str">
        <f>IF(UPPER(LEFT([1]Sheet1!W434,1))="F","FEMALE","MALE")</f>
        <v>FEMALE</v>
      </c>
      <c r="D434">
        <v>53</v>
      </c>
      <c r="E434" t="s">
        <v>21</v>
      </c>
      <c r="F434" t="s">
        <v>21</v>
      </c>
      <c r="G434" t="s">
        <v>22</v>
      </c>
      <c r="H434" t="s">
        <v>62</v>
      </c>
      <c r="I434" s="1">
        <v>13</v>
      </c>
      <c r="J434" s="1" t="str">
        <f t="shared" si="64"/>
        <v>11-16</v>
      </c>
      <c r="K434" s="1">
        <v>3.3</v>
      </c>
      <c r="L434" s="2">
        <v>50</v>
      </c>
      <c r="M434" s="1">
        <f t="shared" si="66"/>
        <v>50</v>
      </c>
      <c r="N434" s="1">
        <f>M434</f>
        <v>50</v>
      </c>
      <c r="O434" t="s">
        <v>1054</v>
      </c>
      <c r="P434" s="4">
        <f>[2]Sheet1!K434</f>
        <v>0.93</v>
      </c>
    </row>
    <row r="435" spans="1:16" x14ac:dyDescent="0.35">
      <c r="A435" t="s">
        <v>485</v>
      </c>
      <c r="B435" t="str">
        <f>TRIM([1]Sheet1!AD435)</f>
        <v>Kimberly Allen</v>
      </c>
      <c r="C435" t="str">
        <f>IF(UPPER(LEFT([1]Sheet1!W435,1))="F","FEMALE","MALE")</f>
        <v>FEMALE</v>
      </c>
      <c r="D435">
        <v>35</v>
      </c>
      <c r="E435" t="s">
        <v>14</v>
      </c>
      <c r="F435" t="s">
        <v>14</v>
      </c>
      <c r="G435" t="s">
        <v>15</v>
      </c>
      <c r="H435" t="s">
        <v>8</v>
      </c>
      <c r="I435" s="1">
        <v>0</v>
      </c>
      <c r="J435" s="1" t="str">
        <f t="shared" si="64"/>
        <v>0-5</v>
      </c>
      <c r="K435" s="1">
        <v>4.5999999999999996</v>
      </c>
      <c r="L435" s="1" t="s">
        <v>1066</v>
      </c>
      <c r="M435" s="1" t="str">
        <f t="shared" si="66"/>
        <v>USD 30</v>
      </c>
      <c r="N435" s="1">
        <v>30</v>
      </c>
      <c r="P435" s="4">
        <f>[2]Sheet1!K435</f>
        <v>0.97</v>
      </c>
    </row>
    <row r="436" spans="1:16" x14ac:dyDescent="0.35">
      <c r="A436" t="s">
        <v>486</v>
      </c>
      <c r="B436" t="str">
        <f>TRIM([1]Sheet1!AD436)</f>
        <v>Elizabeth Edwards</v>
      </c>
      <c r="C436" t="str">
        <f>IF(UPPER(LEFT([1]Sheet1!W436,1))="F","FEMALE","MALE")</f>
        <v>FEMALE</v>
      </c>
      <c r="D436">
        <v>27</v>
      </c>
      <c r="E436" t="s">
        <v>37</v>
      </c>
      <c r="F436" t="s">
        <v>37</v>
      </c>
      <c r="G436" t="s">
        <v>38</v>
      </c>
      <c r="H436" t="s">
        <v>62</v>
      </c>
      <c r="I436" s="1">
        <v>7</v>
      </c>
      <c r="J436" s="1" t="str">
        <f t="shared" si="64"/>
        <v>5-10</v>
      </c>
      <c r="K436" s="1">
        <v>2.8</v>
      </c>
      <c r="L436" s="1" t="s">
        <v>1063</v>
      </c>
      <c r="M436" s="1" t="str">
        <f t="shared" si="66"/>
        <v>USD 75</v>
      </c>
      <c r="N436" s="1">
        <v>75</v>
      </c>
      <c r="O436" t="s">
        <v>1054</v>
      </c>
      <c r="P436" s="4">
        <f>[2]Sheet1!K436</f>
        <v>0.92</v>
      </c>
    </row>
    <row r="437" spans="1:16" x14ac:dyDescent="0.35">
      <c r="A437" t="s">
        <v>487</v>
      </c>
      <c r="B437" t="str">
        <f>TRIM([1]Sheet1!AD437)</f>
        <v>Anthony Downs</v>
      </c>
      <c r="C437" t="str">
        <f>IF(UPPER(LEFT([1]Sheet1!W437,1))="F","FEMALE","MALE")</f>
        <v>MALE</v>
      </c>
      <c r="D437">
        <v>34</v>
      </c>
      <c r="E437" t="s">
        <v>10</v>
      </c>
      <c r="F437" t="s">
        <v>10</v>
      </c>
      <c r="G437" t="s">
        <v>11</v>
      </c>
      <c r="H437" t="s">
        <v>48</v>
      </c>
      <c r="I437" s="1">
        <v>6</v>
      </c>
      <c r="J437" s="1" t="str">
        <f t="shared" si="64"/>
        <v>5-10</v>
      </c>
      <c r="K437" s="1">
        <v>5</v>
      </c>
      <c r="L437" s="1">
        <v>50</v>
      </c>
      <c r="M437" s="1">
        <f t="shared" si="66"/>
        <v>50</v>
      </c>
      <c r="N437" s="1">
        <f t="shared" ref="N437:N440" si="70">M437</f>
        <v>50</v>
      </c>
      <c r="O437" t="s">
        <v>1054</v>
      </c>
      <c r="P437" s="4">
        <f>[2]Sheet1!K437</f>
        <v>0.92</v>
      </c>
    </row>
    <row r="438" spans="1:16" x14ac:dyDescent="0.35">
      <c r="A438" t="s">
        <v>488</v>
      </c>
      <c r="B438" t="str">
        <f>TRIM([1]Sheet1!AD438)</f>
        <v>Jack Ortega</v>
      </c>
      <c r="C438" t="str">
        <f>IF(UPPER(LEFT([1]Sheet1!W438,1))="F","FEMALE","MALE")</f>
        <v>MALE</v>
      </c>
      <c r="D438">
        <v>24</v>
      </c>
      <c r="E438" t="s">
        <v>50</v>
      </c>
      <c r="F438" t="s">
        <v>50</v>
      </c>
      <c r="G438" t="s">
        <v>51</v>
      </c>
      <c r="H438" t="s">
        <v>41</v>
      </c>
      <c r="I438" s="1">
        <v>2</v>
      </c>
      <c r="J438" s="1" t="str">
        <f t="shared" si="64"/>
        <v>0-5</v>
      </c>
      <c r="K438" s="1">
        <v>4.7</v>
      </c>
      <c r="L438" s="1">
        <v>75</v>
      </c>
      <c r="M438" s="1">
        <f t="shared" si="66"/>
        <v>75</v>
      </c>
      <c r="N438" s="1">
        <f t="shared" si="70"/>
        <v>75</v>
      </c>
      <c r="O438" t="s">
        <v>1053</v>
      </c>
      <c r="P438" s="4">
        <f>[2]Sheet1!K438</f>
        <v>0.68</v>
      </c>
    </row>
    <row r="439" spans="1:16" x14ac:dyDescent="0.35">
      <c r="A439" t="s">
        <v>489</v>
      </c>
      <c r="B439" t="str">
        <f>TRIM([1]Sheet1!AD439)</f>
        <v>Marvin Moore</v>
      </c>
      <c r="C439" t="str">
        <f>IF(UPPER(LEFT([1]Sheet1!W439,1))="F","FEMALE","MALE")</f>
        <v>MALE</v>
      </c>
      <c r="D439">
        <v>57</v>
      </c>
      <c r="E439" t="s">
        <v>30</v>
      </c>
      <c r="F439" t="s">
        <v>30</v>
      </c>
      <c r="G439" t="s">
        <v>11</v>
      </c>
      <c r="H439" t="s">
        <v>39</v>
      </c>
      <c r="I439" s="1">
        <v>13</v>
      </c>
      <c r="J439" s="1" t="str">
        <f t="shared" si="64"/>
        <v>11-16</v>
      </c>
      <c r="K439" s="1">
        <v>3.5</v>
      </c>
      <c r="L439" s="1">
        <v>100</v>
      </c>
      <c r="M439" s="1">
        <f t="shared" si="66"/>
        <v>100</v>
      </c>
      <c r="N439" s="1">
        <f t="shared" si="70"/>
        <v>100</v>
      </c>
      <c r="O439" t="s">
        <v>1053</v>
      </c>
      <c r="P439" s="4">
        <f>[2]Sheet1!K439</f>
        <v>0.95</v>
      </c>
    </row>
    <row r="440" spans="1:16" x14ac:dyDescent="0.35">
      <c r="A440" t="s">
        <v>490</v>
      </c>
      <c r="B440" t="str">
        <f>TRIM([1]Sheet1!AD440)</f>
        <v>Tony French</v>
      </c>
      <c r="C440" t="str">
        <f>IF(UPPER(LEFT([1]Sheet1!W440,1))="F","FEMALE","MALE")</f>
        <v>MALE</v>
      </c>
      <c r="D440">
        <v>28</v>
      </c>
      <c r="E440" t="s">
        <v>60</v>
      </c>
      <c r="F440" t="s">
        <v>60</v>
      </c>
      <c r="G440" t="s">
        <v>61</v>
      </c>
      <c r="H440" t="s">
        <v>39</v>
      </c>
      <c r="I440" s="1">
        <v>7</v>
      </c>
      <c r="J440" s="1" t="str">
        <f t="shared" si="64"/>
        <v>5-10</v>
      </c>
      <c r="K440" s="1">
        <v>4.3</v>
      </c>
      <c r="L440" s="2">
        <v>100</v>
      </c>
      <c r="M440" s="1">
        <f t="shared" si="66"/>
        <v>100</v>
      </c>
      <c r="N440" s="1">
        <f t="shared" si="70"/>
        <v>100</v>
      </c>
      <c r="O440" t="s">
        <v>1053</v>
      </c>
      <c r="P440" s="4">
        <f>[2]Sheet1!K440</f>
        <v>0.76</v>
      </c>
    </row>
    <row r="441" spans="1:16" x14ac:dyDescent="0.35">
      <c r="A441" t="s">
        <v>491</v>
      </c>
      <c r="B441" t="str">
        <f>TRIM([1]Sheet1!AD441)</f>
        <v>Stacy Hudson</v>
      </c>
      <c r="C441" t="str">
        <f>IF(UPPER(LEFT([1]Sheet1!W441,1))="F","FEMALE","MALE")</f>
        <v>FEMALE</v>
      </c>
      <c r="D441">
        <v>26</v>
      </c>
      <c r="E441" t="s">
        <v>6</v>
      </c>
      <c r="F441" t="s">
        <v>6</v>
      </c>
      <c r="G441" t="s">
        <v>7</v>
      </c>
      <c r="H441" t="s">
        <v>48</v>
      </c>
      <c r="I441" s="1">
        <v>7</v>
      </c>
      <c r="J441" s="1" t="str">
        <f t="shared" si="64"/>
        <v>5-10</v>
      </c>
      <c r="K441" s="1">
        <v>3.3</v>
      </c>
      <c r="L441" s="1" t="s">
        <v>1062</v>
      </c>
      <c r="M441" s="1" t="str">
        <f t="shared" si="66"/>
        <v>USD 100</v>
      </c>
      <c r="N441" s="1">
        <v>100</v>
      </c>
      <c r="O441" t="s">
        <v>1054</v>
      </c>
      <c r="P441" s="4">
        <f>[2]Sheet1!K441</f>
        <v>0.66</v>
      </c>
    </row>
    <row r="442" spans="1:16" x14ac:dyDescent="0.35">
      <c r="A442" t="s">
        <v>492</v>
      </c>
      <c r="B442" t="str">
        <f>TRIM([1]Sheet1!AD442)</f>
        <v>Scott Washington</v>
      </c>
      <c r="C442" t="str">
        <f>IF(UPPER(LEFT([1]Sheet1!W442,1))="F","FEMALE","MALE")</f>
        <v>MALE</v>
      </c>
      <c r="D442">
        <v>34</v>
      </c>
      <c r="E442" t="s">
        <v>37</v>
      </c>
      <c r="F442" t="s">
        <v>37</v>
      </c>
      <c r="G442" t="s">
        <v>38</v>
      </c>
      <c r="H442" t="s">
        <v>12</v>
      </c>
      <c r="I442" s="1">
        <v>15</v>
      </c>
      <c r="J442" s="1" t="str">
        <f t="shared" si="64"/>
        <v>11-16</v>
      </c>
      <c r="L442" s="1">
        <v>75</v>
      </c>
      <c r="M442" s="1">
        <f t="shared" si="66"/>
        <v>75</v>
      </c>
      <c r="N442" s="1">
        <f>M442</f>
        <v>75</v>
      </c>
      <c r="O442" t="s">
        <v>1053</v>
      </c>
      <c r="P442" s="4">
        <f>[2]Sheet1!K442</f>
        <v>0.73</v>
      </c>
    </row>
    <row r="443" spans="1:16" x14ac:dyDescent="0.35">
      <c r="A443" t="s">
        <v>493</v>
      </c>
      <c r="B443" t="str">
        <f>TRIM([1]Sheet1!AD443)</f>
        <v>Timothy Wright</v>
      </c>
      <c r="C443" t="str">
        <f>IF(UPPER(LEFT([1]Sheet1!W443,1))="F","FEMALE","MALE")</f>
        <v>MALE</v>
      </c>
      <c r="D443">
        <v>43</v>
      </c>
      <c r="E443" t="s">
        <v>45</v>
      </c>
      <c r="F443" t="s">
        <v>45</v>
      </c>
      <c r="G443" t="s">
        <v>46</v>
      </c>
      <c r="H443" t="s">
        <v>23</v>
      </c>
      <c r="J443" s="1" t="str">
        <f t="shared" si="64"/>
        <v>0-5</v>
      </c>
      <c r="K443" s="1">
        <v>2.8</v>
      </c>
      <c r="L443" s="1" t="s">
        <v>1067</v>
      </c>
      <c r="M443" s="1" t="str">
        <f t="shared" si="66"/>
        <v>USD 20</v>
      </c>
      <c r="N443" s="1">
        <v>20</v>
      </c>
      <c r="P443" s="4">
        <f>[2]Sheet1!K443</f>
        <v>0.99</v>
      </c>
    </row>
    <row r="444" spans="1:16" x14ac:dyDescent="0.35">
      <c r="A444" t="s">
        <v>494</v>
      </c>
      <c r="B444" t="str">
        <f>TRIM([1]Sheet1!AD444)</f>
        <v>Joseph Gonzalez</v>
      </c>
      <c r="C444" t="str">
        <f>IF(UPPER(LEFT([1]Sheet1!W444,1))="F","FEMALE","MALE")</f>
        <v>MALE</v>
      </c>
      <c r="D444">
        <v>31</v>
      </c>
      <c r="E444" t="s">
        <v>96</v>
      </c>
      <c r="F444" t="s">
        <v>96</v>
      </c>
      <c r="G444" t="s">
        <v>97</v>
      </c>
      <c r="H444" t="s">
        <v>16</v>
      </c>
      <c r="I444" s="1">
        <v>5</v>
      </c>
      <c r="J444" s="1" t="str">
        <f t="shared" si="64"/>
        <v>0-5</v>
      </c>
      <c r="K444" s="1">
        <v>2.7</v>
      </c>
      <c r="M444" s="1">
        <f t="shared" si="66"/>
        <v>0</v>
      </c>
      <c r="N444" s="1">
        <f t="shared" ref="N444:N447" si="71">M444</f>
        <v>0</v>
      </c>
      <c r="O444" t="s">
        <v>1054</v>
      </c>
      <c r="P444" s="3">
        <f>[2]Sheet1!K444/100</f>
        <v>0.94</v>
      </c>
    </row>
    <row r="445" spans="1:16" x14ac:dyDescent="0.35">
      <c r="A445" t="s">
        <v>495</v>
      </c>
      <c r="B445" t="str">
        <f>TRIM([1]Sheet1!AD445)</f>
        <v>Andrea Perez</v>
      </c>
      <c r="C445" t="str">
        <f>IF(UPPER(LEFT([1]Sheet1!W445,1))="F","FEMALE","MALE")</f>
        <v>FEMALE</v>
      </c>
      <c r="D445">
        <v>34</v>
      </c>
      <c r="E445" t="s">
        <v>96</v>
      </c>
      <c r="F445" t="s">
        <v>96</v>
      </c>
      <c r="G445" t="s">
        <v>97</v>
      </c>
      <c r="H445" t="s">
        <v>8</v>
      </c>
      <c r="J445" s="1" t="str">
        <f t="shared" si="64"/>
        <v>0-5</v>
      </c>
      <c r="K445" s="1">
        <v>0</v>
      </c>
      <c r="L445" s="2">
        <v>50</v>
      </c>
      <c r="M445" s="1">
        <f t="shared" si="66"/>
        <v>50</v>
      </c>
      <c r="N445" s="1">
        <f t="shared" si="71"/>
        <v>50</v>
      </c>
      <c r="O445" t="s">
        <v>1053</v>
      </c>
      <c r="P445" s="3">
        <f>[2]Sheet1!K445/100</f>
        <v>0.84</v>
      </c>
    </row>
    <row r="446" spans="1:16" x14ac:dyDescent="0.35">
      <c r="A446" t="s">
        <v>496</v>
      </c>
      <c r="B446" t="str">
        <f>TRIM([1]Sheet1!AD446)</f>
        <v>Angel Collins</v>
      </c>
      <c r="C446" t="str">
        <f>IF(UPPER(LEFT([1]Sheet1!W446,1))="F","FEMALE","MALE")</f>
        <v>FEMALE</v>
      </c>
      <c r="D446">
        <v>32</v>
      </c>
      <c r="E446" t="s">
        <v>67</v>
      </c>
      <c r="F446" t="s">
        <v>67</v>
      </c>
      <c r="G446" t="s">
        <v>68</v>
      </c>
      <c r="H446" t="s">
        <v>41</v>
      </c>
      <c r="I446" s="1">
        <v>10</v>
      </c>
      <c r="J446" s="1" t="str">
        <f t="shared" si="64"/>
        <v>5-10</v>
      </c>
      <c r="L446" s="2">
        <v>20</v>
      </c>
      <c r="M446" s="1">
        <f t="shared" si="66"/>
        <v>20</v>
      </c>
      <c r="N446" s="1">
        <f t="shared" si="71"/>
        <v>20</v>
      </c>
      <c r="O446" t="s">
        <v>1054</v>
      </c>
      <c r="P446" s="4">
        <f>[2]Sheet1!K446</f>
        <v>0.92</v>
      </c>
    </row>
    <row r="447" spans="1:16" x14ac:dyDescent="0.35">
      <c r="A447" t="s">
        <v>497</v>
      </c>
      <c r="B447" t="str">
        <f>TRIM([1]Sheet1!AD447)</f>
        <v>Daniel Terry</v>
      </c>
      <c r="C447" t="str">
        <f>IF(UPPER(LEFT([1]Sheet1!W447,1))="F","FEMALE","MALE")</f>
        <v>MALE</v>
      </c>
      <c r="D447">
        <v>24</v>
      </c>
      <c r="E447" t="s">
        <v>77</v>
      </c>
      <c r="F447" t="s">
        <v>77</v>
      </c>
      <c r="G447" t="s">
        <v>78</v>
      </c>
      <c r="H447" t="s">
        <v>48</v>
      </c>
      <c r="I447" s="1">
        <v>6</v>
      </c>
      <c r="J447" s="1" t="str">
        <f t="shared" si="64"/>
        <v>5-10</v>
      </c>
      <c r="K447" s="1">
        <v>4.3</v>
      </c>
      <c r="L447" s="2">
        <v>75</v>
      </c>
      <c r="M447" s="1">
        <f t="shared" si="66"/>
        <v>75</v>
      </c>
      <c r="N447" s="1">
        <f t="shared" si="71"/>
        <v>75</v>
      </c>
      <c r="O447" t="s">
        <v>1054</v>
      </c>
    </row>
    <row r="448" spans="1:16" x14ac:dyDescent="0.35">
      <c r="A448" t="s">
        <v>498</v>
      </c>
      <c r="B448" t="str">
        <f>TRIM([1]Sheet1!AD448)</f>
        <v>Steven Whitaker</v>
      </c>
      <c r="C448" t="str">
        <f>IF(UPPER(LEFT([1]Sheet1!W448,1))="F","FEMALE","MALE")</f>
        <v>MALE</v>
      </c>
      <c r="D448">
        <v>35</v>
      </c>
      <c r="E448" t="s">
        <v>35</v>
      </c>
      <c r="F448" t="s">
        <v>35</v>
      </c>
      <c r="G448" t="s">
        <v>11</v>
      </c>
      <c r="H448" t="s">
        <v>23</v>
      </c>
      <c r="I448" s="1">
        <v>8</v>
      </c>
      <c r="J448" s="1" t="str">
        <f t="shared" si="64"/>
        <v>5-10</v>
      </c>
      <c r="L448" s="1" t="s">
        <v>1065</v>
      </c>
      <c r="M448" s="1" t="str">
        <f t="shared" si="66"/>
        <v>USD 50</v>
      </c>
      <c r="N448" s="1">
        <v>75</v>
      </c>
      <c r="O448" t="s">
        <v>1053</v>
      </c>
      <c r="P448" s="3">
        <f>[2]Sheet1!K448/100</f>
        <v>0.9</v>
      </c>
    </row>
    <row r="449" spans="1:16" x14ac:dyDescent="0.35">
      <c r="A449" t="s">
        <v>499</v>
      </c>
      <c r="B449" t="str">
        <f>TRIM([1]Sheet1!AD449)</f>
        <v>Denise Neal</v>
      </c>
      <c r="C449" t="str">
        <f>IF(UPPER(LEFT([1]Sheet1!W449,1))="F","FEMALE","MALE")</f>
        <v>FEMALE</v>
      </c>
      <c r="D449">
        <v>22</v>
      </c>
      <c r="E449" t="s">
        <v>10</v>
      </c>
      <c r="F449" t="s">
        <v>10</v>
      </c>
      <c r="G449" t="s">
        <v>11</v>
      </c>
      <c r="H449" t="s">
        <v>12</v>
      </c>
      <c r="I449" s="1">
        <v>4</v>
      </c>
      <c r="J449" s="1" t="str">
        <f t="shared" si="64"/>
        <v>0-5</v>
      </c>
      <c r="L449" s="1">
        <v>20</v>
      </c>
      <c r="M449" s="1">
        <f t="shared" si="66"/>
        <v>20</v>
      </c>
      <c r="N449" s="1">
        <f t="shared" ref="N449:N466" si="72">M449</f>
        <v>20</v>
      </c>
      <c r="O449" t="s">
        <v>1053</v>
      </c>
      <c r="P449" s="4">
        <f>[2]Sheet1!K449</f>
        <v>0.73</v>
      </c>
    </row>
    <row r="450" spans="1:16" x14ac:dyDescent="0.35">
      <c r="A450" t="s">
        <v>500</v>
      </c>
      <c r="B450" t="str">
        <f>TRIM([1]Sheet1!AD450)</f>
        <v>Amanda Jacobs</v>
      </c>
      <c r="C450" t="str">
        <f>IF(UPPER(LEFT([1]Sheet1!W450,1))="F","FEMALE","MALE")</f>
        <v>FEMALE</v>
      </c>
      <c r="D450">
        <v>55</v>
      </c>
      <c r="E450" t="s">
        <v>77</v>
      </c>
      <c r="F450" t="s">
        <v>77</v>
      </c>
      <c r="G450" t="s">
        <v>78</v>
      </c>
      <c r="H450" t="s">
        <v>23</v>
      </c>
      <c r="I450" s="1">
        <v>3</v>
      </c>
      <c r="J450" s="1" t="str">
        <f t="shared" ref="J450:J513" si="73">_xlfn.IFS(I450&lt;=5,"0-5",I450&lt;=10,"5-10",I450&lt;=16,"11-16",I450&lt;=20," 16-20",I450&lt;=25,"21- 25",I450&lt;=30,"26-30",I450&gt;30,"31+")</f>
        <v>0-5</v>
      </c>
      <c r="L450" s="1">
        <v>100</v>
      </c>
      <c r="M450" s="1">
        <f t="shared" si="66"/>
        <v>100</v>
      </c>
      <c r="N450" s="1">
        <f t="shared" si="72"/>
        <v>100</v>
      </c>
      <c r="O450" t="s">
        <v>1054</v>
      </c>
      <c r="P450" s="4">
        <f>[2]Sheet1!K450</f>
        <v>0.73</v>
      </c>
    </row>
    <row r="451" spans="1:16" x14ac:dyDescent="0.35">
      <c r="A451" t="s">
        <v>501</v>
      </c>
      <c r="B451" t="str">
        <f>TRIM([1]Sheet1!AD451)</f>
        <v>Karen Mercer</v>
      </c>
      <c r="C451" t="str">
        <f>IF(UPPER(LEFT([1]Sheet1!W451,1))="F","FEMALE","MALE")</f>
        <v>FEMALE</v>
      </c>
      <c r="D451">
        <v>54</v>
      </c>
      <c r="E451" t="s">
        <v>37</v>
      </c>
      <c r="F451" t="s">
        <v>37</v>
      </c>
      <c r="G451" t="s">
        <v>38</v>
      </c>
      <c r="H451" t="s">
        <v>62</v>
      </c>
      <c r="J451" s="1" t="str">
        <f t="shared" si="73"/>
        <v>0-5</v>
      </c>
      <c r="K451" s="1">
        <v>2.9</v>
      </c>
      <c r="L451" s="1">
        <v>30</v>
      </c>
      <c r="M451" s="1">
        <f t="shared" ref="M451:M514" si="74">L451</f>
        <v>30</v>
      </c>
      <c r="N451" s="1">
        <f t="shared" si="72"/>
        <v>30</v>
      </c>
      <c r="O451" t="s">
        <v>1054</v>
      </c>
      <c r="P451" s="4">
        <f>[2]Sheet1!K451</f>
        <v>0.78</v>
      </c>
    </row>
    <row r="452" spans="1:16" x14ac:dyDescent="0.35">
      <c r="A452" t="s">
        <v>502</v>
      </c>
      <c r="B452" t="str">
        <f>TRIM([1]Sheet1!AD452)</f>
        <v>Lindsay Hudson</v>
      </c>
      <c r="C452" t="str">
        <f>IF(UPPER(LEFT([1]Sheet1!W452,1))="F","FEMALE","MALE")</f>
        <v>FEMALE</v>
      </c>
      <c r="D452">
        <v>36</v>
      </c>
      <c r="E452" t="s">
        <v>21</v>
      </c>
      <c r="F452" t="s">
        <v>21</v>
      </c>
      <c r="G452" t="s">
        <v>22</v>
      </c>
      <c r="H452" t="s">
        <v>41</v>
      </c>
      <c r="I452" s="1">
        <v>11</v>
      </c>
      <c r="J452" s="1" t="str">
        <f t="shared" si="73"/>
        <v>11-16</v>
      </c>
      <c r="K452" s="1">
        <v>0</v>
      </c>
      <c r="L452" s="2">
        <v>30</v>
      </c>
      <c r="M452" s="1">
        <f t="shared" si="74"/>
        <v>30</v>
      </c>
      <c r="N452" s="1">
        <f t="shared" si="72"/>
        <v>30</v>
      </c>
      <c r="O452" t="s">
        <v>1054</v>
      </c>
      <c r="P452" s="4">
        <f>[2]Sheet1!K452</f>
        <v>0.63</v>
      </c>
    </row>
    <row r="453" spans="1:16" x14ac:dyDescent="0.35">
      <c r="A453" t="s">
        <v>503</v>
      </c>
      <c r="B453" t="str">
        <f>TRIM([1]Sheet1!AD453)</f>
        <v>Stephanie Armstrong</v>
      </c>
      <c r="C453" t="str">
        <f>IF(UPPER(LEFT([1]Sheet1!W453,1))="F","FEMALE","MALE")</f>
        <v>FEMALE</v>
      </c>
      <c r="D453">
        <v>36</v>
      </c>
      <c r="E453" t="s">
        <v>21</v>
      </c>
      <c r="F453" t="s">
        <v>21</v>
      </c>
      <c r="G453" t="s">
        <v>22</v>
      </c>
      <c r="H453" t="s">
        <v>23</v>
      </c>
      <c r="I453" s="1">
        <v>17</v>
      </c>
      <c r="J453" s="1" t="str">
        <f t="shared" si="73"/>
        <v xml:space="preserve"> 16-20</v>
      </c>
      <c r="K453" s="1">
        <v>1.3</v>
      </c>
      <c r="L453" s="1">
        <v>50</v>
      </c>
      <c r="M453" s="1">
        <f t="shared" si="74"/>
        <v>50</v>
      </c>
      <c r="N453" s="1">
        <f t="shared" si="72"/>
        <v>50</v>
      </c>
      <c r="P453" s="4">
        <f>[2]Sheet1!K453</f>
        <v>0.64</v>
      </c>
    </row>
    <row r="454" spans="1:16" x14ac:dyDescent="0.35">
      <c r="A454" t="s">
        <v>504</v>
      </c>
      <c r="B454" t="str">
        <f>TRIM([1]Sheet1!AD454)</f>
        <v>Jessica Campbell</v>
      </c>
      <c r="C454" t="str">
        <f>IF(UPPER(LEFT([1]Sheet1!W454,1))="F","FEMALE","MALE")</f>
        <v>FEMALE</v>
      </c>
      <c r="D454">
        <v>25</v>
      </c>
      <c r="E454" t="s">
        <v>37</v>
      </c>
      <c r="F454" t="s">
        <v>37</v>
      </c>
      <c r="G454" t="s">
        <v>38</v>
      </c>
      <c r="H454" t="s">
        <v>18</v>
      </c>
      <c r="I454" s="1">
        <v>1</v>
      </c>
      <c r="J454" s="1" t="str">
        <f t="shared" si="73"/>
        <v>0-5</v>
      </c>
      <c r="K454" s="1">
        <v>0</v>
      </c>
      <c r="L454" s="1">
        <v>75</v>
      </c>
      <c r="M454" s="1">
        <f t="shared" si="74"/>
        <v>75</v>
      </c>
      <c r="N454" s="1">
        <f t="shared" si="72"/>
        <v>75</v>
      </c>
      <c r="O454" t="s">
        <v>1054</v>
      </c>
    </row>
    <row r="455" spans="1:16" x14ac:dyDescent="0.35">
      <c r="A455" t="s">
        <v>505</v>
      </c>
      <c r="B455" t="str">
        <f>TRIM([1]Sheet1!AD455)</f>
        <v>Curtis Maxwell</v>
      </c>
      <c r="C455" t="str">
        <f>IF(UPPER(LEFT([1]Sheet1!W455,1))="F","FEMALE","MALE")</f>
        <v>MALE</v>
      </c>
      <c r="D455">
        <v>46</v>
      </c>
      <c r="E455" t="s">
        <v>25</v>
      </c>
      <c r="F455" t="s">
        <v>25</v>
      </c>
      <c r="G455" t="s">
        <v>26</v>
      </c>
      <c r="H455" t="s">
        <v>23</v>
      </c>
      <c r="I455" s="1">
        <v>16</v>
      </c>
      <c r="J455" s="1" t="str">
        <f t="shared" si="73"/>
        <v>11-16</v>
      </c>
      <c r="K455" s="1">
        <v>4.8</v>
      </c>
      <c r="L455" s="1">
        <v>20</v>
      </c>
      <c r="M455" s="1">
        <f t="shared" si="74"/>
        <v>20</v>
      </c>
      <c r="N455" s="1">
        <f t="shared" si="72"/>
        <v>20</v>
      </c>
      <c r="O455" t="s">
        <v>1054</v>
      </c>
      <c r="P455" s="4">
        <f>[2]Sheet1!K455</f>
        <v>0.86</v>
      </c>
    </row>
    <row r="456" spans="1:16" x14ac:dyDescent="0.35">
      <c r="A456" t="s">
        <v>506</v>
      </c>
      <c r="B456" t="str">
        <f>TRIM([1]Sheet1!AD456)</f>
        <v>Adam Kelly PhD</v>
      </c>
      <c r="C456" t="str">
        <f>IF(UPPER(LEFT([1]Sheet1!W456,1))="F","FEMALE","MALE")</f>
        <v>MALE</v>
      </c>
      <c r="D456">
        <v>41</v>
      </c>
      <c r="E456" t="s">
        <v>37</v>
      </c>
      <c r="F456" t="s">
        <v>37</v>
      </c>
      <c r="G456" t="s">
        <v>38</v>
      </c>
      <c r="H456" t="s">
        <v>62</v>
      </c>
      <c r="I456" s="1">
        <v>11</v>
      </c>
      <c r="J456" s="1" t="str">
        <f t="shared" si="73"/>
        <v>11-16</v>
      </c>
      <c r="K456" s="1">
        <v>2.4</v>
      </c>
      <c r="L456" s="2">
        <v>40</v>
      </c>
      <c r="M456" s="1">
        <f t="shared" si="74"/>
        <v>40</v>
      </c>
      <c r="N456" s="1">
        <f t="shared" si="72"/>
        <v>40</v>
      </c>
      <c r="O456" t="s">
        <v>1053</v>
      </c>
    </row>
    <row r="457" spans="1:16" x14ac:dyDescent="0.35">
      <c r="A457" t="s">
        <v>507</v>
      </c>
      <c r="B457" t="str">
        <f>TRIM([1]Sheet1!AD457)</f>
        <v>Julie Becker</v>
      </c>
      <c r="C457" t="str">
        <f>IF(UPPER(LEFT([1]Sheet1!W457,1))="F","FEMALE","MALE")</f>
        <v>FEMALE</v>
      </c>
      <c r="D457">
        <v>21</v>
      </c>
      <c r="E457" t="s">
        <v>67</v>
      </c>
      <c r="F457" t="s">
        <v>67</v>
      </c>
      <c r="G457" t="s">
        <v>68</v>
      </c>
      <c r="H457" t="s">
        <v>12</v>
      </c>
      <c r="I457" s="1">
        <v>3</v>
      </c>
      <c r="J457" s="1" t="str">
        <f t="shared" si="73"/>
        <v>0-5</v>
      </c>
      <c r="K457" s="1">
        <v>4.7</v>
      </c>
      <c r="L457" s="2">
        <v>100</v>
      </c>
      <c r="M457" s="1">
        <f t="shared" si="74"/>
        <v>100</v>
      </c>
      <c r="N457" s="1">
        <f t="shared" si="72"/>
        <v>100</v>
      </c>
      <c r="O457" t="s">
        <v>1053</v>
      </c>
      <c r="P457" s="4">
        <f>[2]Sheet1!K457</f>
        <v>0.96</v>
      </c>
    </row>
    <row r="458" spans="1:16" x14ac:dyDescent="0.35">
      <c r="A458" t="s">
        <v>508</v>
      </c>
      <c r="B458" t="str">
        <f>TRIM([1]Sheet1!AD458)</f>
        <v>James Moore</v>
      </c>
      <c r="C458" t="str">
        <f>IF(UPPER(LEFT([1]Sheet1!W458,1))="F","FEMALE","MALE")</f>
        <v>MALE</v>
      </c>
      <c r="D458">
        <v>29</v>
      </c>
      <c r="E458" t="s">
        <v>30</v>
      </c>
      <c r="F458" t="s">
        <v>30</v>
      </c>
      <c r="G458" t="s">
        <v>11</v>
      </c>
      <c r="H458" t="s">
        <v>16</v>
      </c>
      <c r="J458" s="1" t="str">
        <f t="shared" si="73"/>
        <v>0-5</v>
      </c>
      <c r="K458" s="1">
        <v>2</v>
      </c>
      <c r="L458" s="2">
        <v>75</v>
      </c>
      <c r="M458" s="1">
        <f t="shared" si="74"/>
        <v>75</v>
      </c>
      <c r="N458" s="1">
        <f t="shared" si="72"/>
        <v>75</v>
      </c>
      <c r="O458" t="s">
        <v>1053</v>
      </c>
    </row>
    <row r="459" spans="1:16" x14ac:dyDescent="0.35">
      <c r="A459" t="s">
        <v>509</v>
      </c>
      <c r="B459" t="str">
        <f>TRIM([1]Sheet1!AD459)</f>
        <v>Danielle Barrera</v>
      </c>
      <c r="C459" t="str">
        <f>IF(UPPER(LEFT([1]Sheet1!W459,1))="F","FEMALE","MALE")</f>
        <v>FEMALE</v>
      </c>
      <c r="D459">
        <v>44</v>
      </c>
      <c r="E459" t="s">
        <v>30</v>
      </c>
      <c r="F459" t="s">
        <v>30</v>
      </c>
      <c r="G459" t="s">
        <v>11</v>
      </c>
      <c r="H459" t="s">
        <v>12</v>
      </c>
      <c r="I459" s="1">
        <v>3</v>
      </c>
      <c r="J459" s="1" t="str">
        <f t="shared" si="73"/>
        <v>0-5</v>
      </c>
      <c r="K459" s="1">
        <v>2.2000000000000002</v>
      </c>
      <c r="L459" s="2">
        <v>50</v>
      </c>
      <c r="M459" s="1">
        <f t="shared" si="74"/>
        <v>50</v>
      </c>
      <c r="N459" s="1">
        <f t="shared" si="72"/>
        <v>50</v>
      </c>
      <c r="O459" t="s">
        <v>1053</v>
      </c>
      <c r="P459" s="4">
        <f>[2]Sheet1!K459</f>
        <v>0.77</v>
      </c>
    </row>
    <row r="460" spans="1:16" x14ac:dyDescent="0.35">
      <c r="A460" t="s">
        <v>510</v>
      </c>
      <c r="B460" t="str">
        <f>TRIM([1]Sheet1!AD460)</f>
        <v>David Sanchez</v>
      </c>
      <c r="C460" t="str">
        <f>IF(UPPER(LEFT([1]Sheet1!W460,1))="F","FEMALE","MALE")</f>
        <v>MALE</v>
      </c>
      <c r="D460">
        <v>40</v>
      </c>
      <c r="E460" t="s">
        <v>70</v>
      </c>
      <c r="F460" t="s">
        <v>70</v>
      </c>
      <c r="G460" t="s">
        <v>11</v>
      </c>
      <c r="H460" t="s">
        <v>62</v>
      </c>
      <c r="I460" s="1">
        <v>1</v>
      </c>
      <c r="J460" s="1" t="str">
        <f t="shared" si="73"/>
        <v>0-5</v>
      </c>
      <c r="K460" s="1">
        <v>2.1</v>
      </c>
      <c r="L460" s="1">
        <v>100</v>
      </c>
      <c r="M460" s="1">
        <f t="shared" si="74"/>
        <v>100</v>
      </c>
      <c r="N460" s="1">
        <f t="shared" si="72"/>
        <v>100</v>
      </c>
      <c r="O460" t="s">
        <v>1054</v>
      </c>
    </row>
    <row r="461" spans="1:16" x14ac:dyDescent="0.35">
      <c r="A461" t="s">
        <v>511</v>
      </c>
      <c r="B461" t="str">
        <f>TRIM([1]Sheet1!AD461)</f>
        <v>Tiffany Bowman</v>
      </c>
      <c r="C461" t="str">
        <f>IF(UPPER(LEFT([1]Sheet1!W461,1))="F","FEMALE","MALE")</f>
        <v>FEMALE</v>
      </c>
      <c r="D461">
        <v>27</v>
      </c>
      <c r="E461" t="s">
        <v>77</v>
      </c>
      <c r="F461" t="s">
        <v>77</v>
      </c>
      <c r="G461" t="s">
        <v>78</v>
      </c>
      <c r="H461" t="s">
        <v>27</v>
      </c>
      <c r="I461" s="1">
        <v>1</v>
      </c>
      <c r="J461" s="1" t="str">
        <f t="shared" si="73"/>
        <v>0-5</v>
      </c>
      <c r="K461" s="1">
        <v>1.7</v>
      </c>
      <c r="L461" s="1">
        <v>30</v>
      </c>
      <c r="M461" s="1">
        <f t="shared" si="74"/>
        <v>30</v>
      </c>
      <c r="N461" s="1">
        <f t="shared" si="72"/>
        <v>30</v>
      </c>
      <c r="O461" t="s">
        <v>1053</v>
      </c>
      <c r="P461" s="4">
        <f>[2]Sheet1!K461</f>
        <v>0.65</v>
      </c>
    </row>
    <row r="462" spans="1:16" x14ac:dyDescent="0.35">
      <c r="A462" t="s">
        <v>512</v>
      </c>
      <c r="B462" t="str">
        <f>TRIM([1]Sheet1!AD462)</f>
        <v>Jesus Quinn</v>
      </c>
      <c r="C462" t="str">
        <f>IF(UPPER(LEFT([1]Sheet1!W462,1))="F","FEMALE","MALE")</f>
        <v>MALE</v>
      </c>
      <c r="D462">
        <v>53</v>
      </c>
      <c r="E462" t="s">
        <v>74</v>
      </c>
      <c r="F462" t="s">
        <v>74</v>
      </c>
      <c r="G462" t="s">
        <v>75</v>
      </c>
      <c r="H462" t="s">
        <v>12</v>
      </c>
      <c r="I462" s="1">
        <v>35</v>
      </c>
      <c r="J462" s="1" t="str">
        <f t="shared" si="73"/>
        <v>31+</v>
      </c>
      <c r="K462" s="1">
        <v>5</v>
      </c>
      <c r="M462" s="1">
        <f t="shared" si="74"/>
        <v>0</v>
      </c>
      <c r="N462" s="1">
        <f t="shared" si="72"/>
        <v>0</v>
      </c>
      <c r="O462" t="s">
        <v>1054</v>
      </c>
      <c r="P462" s="4">
        <f>[2]Sheet1!K462</f>
        <v>0.62</v>
      </c>
    </row>
    <row r="463" spans="1:16" x14ac:dyDescent="0.35">
      <c r="A463" t="s">
        <v>513</v>
      </c>
      <c r="B463" t="str">
        <f>TRIM([1]Sheet1!AD463)</f>
        <v>Danny Morris</v>
      </c>
      <c r="C463" t="str">
        <f>IF(UPPER(LEFT([1]Sheet1!W463,1))="F","FEMALE","MALE")</f>
        <v>MALE</v>
      </c>
      <c r="D463">
        <v>20</v>
      </c>
      <c r="E463" t="s">
        <v>32</v>
      </c>
      <c r="F463" t="s">
        <v>32</v>
      </c>
      <c r="G463" t="s">
        <v>33</v>
      </c>
      <c r="H463" t="s">
        <v>27</v>
      </c>
      <c r="I463" s="1">
        <v>1</v>
      </c>
      <c r="J463" s="1" t="str">
        <f t="shared" si="73"/>
        <v>0-5</v>
      </c>
      <c r="K463" s="1">
        <v>2.9</v>
      </c>
      <c r="L463" s="1">
        <v>50</v>
      </c>
      <c r="M463" s="1">
        <f t="shared" si="74"/>
        <v>50</v>
      </c>
      <c r="N463" s="1">
        <f t="shared" si="72"/>
        <v>50</v>
      </c>
      <c r="O463" t="s">
        <v>1053</v>
      </c>
      <c r="P463" s="4">
        <f>[2]Sheet1!K463</f>
        <v>0.81</v>
      </c>
    </row>
    <row r="464" spans="1:16" x14ac:dyDescent="0.35">
      <c r="A464" t="s">
        <v>514</v>
      </c>
      <c r="B464" t="str">
        <f>TRIM([1]Sheet1!AD464)</f>
        <v>Nicole York</v>
      </c>
      <c r="C464" t="str">
        <f>IF(UPPER(LEFT([1]Sheet1!W464,1))="F","FEMALE","MALE")</f>
        <v>FEMALE</v>
      </c>
      <c r="E464" t="s">
        <v>45</v>
      </c>
      <c r="F464" t="s">
        <v>45</v>
      </c>
      <c r="G464" t="s">
        <v>46</v>
      </c>
      <c r="H464" t="s">
        <v>48</v>
      </c>
      <c r="I464" s="1">
        <v>12</v>
      </c>
      <c r="J464" s="1" t="str">
        <f t="shared" si="73"/>
        <v>11-16</v>
      </c>
      <c r="K464" s="1">
        <v>4.0999999999999996</v>
      </c>
      <c r="L464" s="2">
        <v>50</v>
      </c>
      <c r="M464" s="1">
        <f t="shared" si="74"/>
        <v>50</v>
      </c>
      <c r="N464" s="1">
        <f t="shared" si="72"/>
        <v>50</v>
      </c>
      <c r="O464" t="s">
        <v>1054</v>
      </c>
      <c r="P464" s="4">
        <f>[2]Sheet1!K464</f>
        <v>0.62</v>
      </c>
    </row>
    <row r="465" spans="1:16" x14ac:dyDescent="0.35">
      <c r="A465" t="s">
        <v>515</v>
      </c>
      <c r="B465" t="str">
        <f>TRIM([1]Sheet1!AD465)</f>
        <v>John Mathis</v>
      </c>
      <c r="C465" t="str">
        <f>IF(UPPER(LEFT([1]Sheet1!W465,1))="F","FEMALE","MALE")</f>
        <v>MALE</v>
      </c>
      <c r="D465">
        <v>26</v>
      </c>
      <c r="E465" t="s">
        <v>99</v>
      </c>
      <c r="F465" t="s">
        <v>99</v>
      </c>
      <c r="G465" t="s">
        <v>38</v>
      </c>
      <c r="H465" t="s">
        <v>18</v>
      </c>
      <c r="I465" s="1">
        <v>8</v>
      </c>
      <c r="J465" s="1" t="str">
        <f t="shared" si="73"/>
        <v>5-10</v>
      </c>
      <c r="K465" s="1">
        <v>4.9000000000000004</v>
      </c>
      <c r="L465" s="1">
        <v>40</v>
      </c>
      <c r="M465" s="1">
        <f t="shared" si="74"/>
        <v>40</v>
      </c>
      <c r="N465" s="1">
        <f t="shared" si="72"/>
        <v>40</v>
      </c>
      <c r="O465" t="s">
        <v>1053</v>
      </c>
      <c r="P465" s="4">
        <f>[2]Sheet1!K465</f>
        <v>0.87</v>
      </c>
    </row>
    <row r="466" spans="1:16" x14ac:dyDescent="0.35">
      <c r="A466" t="s">
        <v>516</v>
      </c>
      <c r="B466" t="str">
        <f>TRIM([1]Sheet1!AD466)</f>
        <v>Julie Barnett</v>
      </c>
      <c r="C466" t="str">
        <f>IF(UPPER(LEFT([1]Sheet1!W466,1))="F","FEMALE","MALE")</f>
        <v>FEMALE</v>
      </c>
      <c r="D466">
        <v>49</v>
      </c>
      <c r="E466" t="s">
        <v>57</v>
      </c>
      <c r="F466" t="s">
        <v>57</v>
      </c>
      <c r="G466" t="s">
        <v>58</v>
      </c>
      <c r="H466" t="s">
        <v>62</v>
      </c>
      <c r="I466" s="1">
        <v>13</v>
      </c>
      <c r="J466" s="1" t="str">
        <f t="shared" si="73"/>
        <v>11-16</v>
      </c>
      <c r="K466" s="1">
        <v>2.5</v>
      </c>
      <c r="L466" s="2">
        <v>100</v>
      </c>
      <c r="M466" s="1">
        <f t="shared" si="74"/>
        <v>100</v>
      </c>
      <c r="N466" s="1">
        <f t="shared" si="72"/>
        <v>100</v>
      </c>
      <c r="O466" t="s">
        <v>1053</v>
      </c>
    </row>
    <row r="467" spans="1:16" x14ac:dyDescent="0.35">
      <c r="A467" t="s">
        <v>517</v>
      </c>
      <c r="B467" t="str">
        <f>TRIM([1]Sheet1!AD467)</f>
        <v>Jasmine Harris</v>
      </c>
      <c r="C467" t="str">
        <f>IF(UPPER(LEFT([1]Sheet1!W467,1))="F","FEMALE","MALE")</f>
        <v>FEMALE</v>
      </c>
      <c r="D467">
        <v>20</v>
      </c>
      <c r="E467" t="s">
        <v>77</v>
      </c>
      <c r="F467" t="s">
        <v>77</v>
      </c>
      <c r="G467" t="s">
        <v>78</v>
      </c>
      <c r="H467" t="s">
        <v>27</v>
      </c>
      <c r="I467" s="1">
        <v>0</v>
      </c>
      <c r="J467" s="1" t="str">
        <f t="shared" si="73"/>
        <v>0-5</v>
      </c>
      <c r="K467" s="1">
        <v>0</v>
      </c>
      <c r="L467" s="1" t="s">
        <v>1066</v>
      </c>
      <c r="M467" s="1" t="str">
        <f t="shared" si="74"/>
        <v>USD 30</v>
      </c>
      <c r="N467" s="1">
        <v>30</v>
      </c>
      <c r="O467" t="s">
        <v>1054</v>
      </c>
      <c r="P467" s="3">
        <f>[2]Sheet1!K467/100</f>
        <v>0.76</v>
      </c>
    </row>
    <row r="468" spans="1:16" x14ac:dyDescent="0.35">
      <c r="A468" t="s">
        <v>518</v>
      </c>
      <c r="B468" t="str">
        <f>TRIM([1]Sheet1!AD468)</f>
        <v>Mary Henry</v>
      </c>
      <c r="C468" t="str">
        <f>IF(UPPER(LEFT([1]Sheet1!W468,1))="F","FEMALE","MALE")</f>
        <v>FEMALE</v>
      </c>
      <c r="D468">
        <v>39</v>
      </c>
      <c r="E468" t="s">
        <v>96</v>
      </c>
      <c r="F468" t="s">
        <v>96</v>
      </c>
      <c r="G468" t="s">
        <v>97</v>
      </c>
      <c r="H468" t="s">
        <v>8</v>
      </c>
      <c r="I468" s="1">
        <v>11</v>
      </c>
      <c r="J468" s="1" t="str">
        <f t="shared" si="73"/>
        <v>11-16</v>
      </c>
      <c r="K468" s="1">
        <v>2.8</v>
      </c>
      <c r="L468" s="1">
        <v>100</v>
      </c>
      <c r="M468" s="1">
        <f t="shared" si="74"/>
        <v>100</v>
      </c>
      <c r="N468" s="1">
        <f t="shared" ref="N468:N469" si="75">M468</f>
        <v>100</v>
      </c>
      <c r="P468" s="3">
        <f>[2]Sheet1!K468/100</f>
        <v>0.7</v>
      </c>
    </row>
    <row r="469" spans="1:16" x14ac:dyDescent="0.35">
      <c r="A469" t="s">
        <v>519</v>
      </c>
      <c r="B469" t="str">
        <f>TRIM([1]Sheet1!AD469)</f>
        <v>Judith Riggs</v>
      </c>
      <c r="C469" t="str">
        <f>IF(UPPER(LEFT([1]Sheet1!W469,1))="F","FEMALE","MALE")</f>
        <v>FEMALE</v>
      </c>
      <c r="D469">
        <v>41</v>
      </c>
      <c r="E469" t="s">
        <v>96</v>
      </c>
      <c r="F469" t="s">
        <v>96</v>
      </c>
      <c r="G469" t="s">
        <v>97</v>
      </c>
      <c r="H469" t="s">
        <v>62</v>
      </c>
      <c r="I469" s="1">
        <v>19</v>
      </c>
      <c r="J469" s="1" t="str">
        <f t="shared" si="73"/>
        <v xml:space="preserve"> 16-20</v>
      </c>
      <c r="K469" s="1">
        <v>3.8</v>
      </c>
      <c r="L469" s="1">
        <v>100</v>
      </c>
      <c r="M469" s="1">
        <f t="shared" si="74"/>
        <v>100</v>
      </c>
      <c r="N469" s="1">
        <f t="shared" si="75"/>
        <v>100</v>
      </c>
      <c r="O469" t="s">
        <v>1054</v>
      </c>
      <c r="P469" s="4">
        <f>[2]Sheet1!K469</f>
        <v>0.71</v>
      </c>
    </row>
    <row r="470" spans="1:16" x14ac:dyDescent="0.35">
      <c r="A470" t="s">
        <v>520</v>
      </c>
      <c r="B470" t="str">
        <f>TRIM([1]Sheet1!AD470)</f>
        <v>Justin Ruiz</v>
      </c>
      <c r="C470" t="str">
        <f>IF(UPPER(LEFT([1]Sheet1!W470,1))="F","FEMALE","MALE")</f>
        <v>MALE</v>
      </c>
      <c r="D470">
        <v>59</v>
      </c>
      <c r="E470" t="s">
        <v>70</v>
      </c>
      <c r="F470" t="s">
        <v>70</v>
      </c>
      <c r="G470" t="s">
        <v>11</v>
      </c>
      <c r="H470" t="s">
        <v>12</v>
      </c>
      <c r="I470" s="1">
        <v>30</v>
      </c>
      <c r="J470" s="1" t="str">
        <f t="shared" si="73"/>
        <v>26-30</v>
      </c>
      <c r="K470" s="1">
        <v>4.3</v>
      </c>
      <c r="L470" s="1" t="s">
        <v>1066</v>
      </c>
      <c r="M470" s="1" t="str">
        <f t="shared" si="74"/>
        <v>USD 30</v>
      </c>
      <c r="N470" s="1">
        <v>30</v>
      </c>
      <c r="O470" t="s">
        <v>1054</v>
      </c>
      <c r="P470" s="4">
        <f>[2]Sheet1!K470</f>
        <v>0.83</v>
      </c>
    </row>
    <row r="471" spans="1:16" x14ac:dyDescent="0.35">
      <c r="A471" t="s">
        <v>521</v>
      </c>
      <c r="B471" t="str">
        <f>TRIM([1]Sheet1!AD471)</f>
        <v>Jennifer Sullivan</v>
      </c>
      <c r="C471" t="str">
        <f>IF(UPPER(LEFT([1]Sheet1!W471,1))="F","FEMALE","MALE")</f>
        <v>FEMALE</v>
      </c>
      <c r="D471">
        <v>45</v>
      </c>
      <c r="E471" t="s">
        <v>10</v>
      </c>
      <c r="F471" t="s">
        <v>10</v>
      </c>
      <c r="G471" t="s">
        <v>11</v>
      </c>
      <c r="H471" t="s">
        <v>8</v>
      </c>
      <c r="I471" s="1">
        <v>8</v>
      </c>
      <c r="J471" s="1" t="str">
        <f t="shared" si="73"/>
        <v>5-10</v>
      </c>
      <c r="K471" s="1">
        <v>0</v>
      </c>
      <c r="L471" s="1">
        <v>40</v>
      </c>
      <c r="M471" s="1">
        <f t="shared" si="74"/>
        <v>40</v>
      </c>
      <c r="N471" s="1">
        <f t="shared" ref="N471:N478" si="76">M471</f>
        <v>40</v>
      </c>
      <c r="O471" t="s">
        <v>1053</v>
      </c>
      <c r="P471" s="3">
        <f>[2]Sheet1!K471/100</f>
        <v>0.78</v>
      </c>
    </row>
    <row r="472" spans="1:16" x14ac:dyDescent="0.35">
      <c r="A472" t="s">
        <v>522</v>
      </c>
      <c r="B472" t="str">
        <f>TRIM([1]Sheet1!AD472)</f>
        <v>Jesse Moran</v>
      </c>
      <c r="C472" t="str">
        <f>IF(UPPER(LEFT([1]Sheet1!W472,1))="F","FEMALE","MALE")</f>
        <v>MALE</v>
      </c>
      <c r="D472">
        <v>22</v>
      </c>
      <c r="E472" t="s">
        <v>25</v>
      </c>
      <c r="F472" t="s">
        <v>25</v>
      </c>
      <c r="G472" t="s">
        <v>26</v>
      </c>
      <c r="H472" t="s">
        <v>41</v>
      </c>
      <c r="I472" s="1">
        <v>0</v>
      </c>
      <c r="J472" s="1" t="str">
        <f t="shared" si="73"/>
        <v>0-5</v>
      </c>
      <c r="K472" s="1">
        <v>1.3</v>
      </c>
      <c r="L472" s="1">
        <v>40</v>
      </c>
      <c r="M472" s="1">
        <f t="shared" si="74"/>
        <v>40</v>
      </c>
      <c r="N472" s="1">
        <f t="shared" si="76"/>
        <v>40</v>
      </c>
      <c r="O472" t="s">
        <v>1054</v>
      </c>
      <c r="P472" s="4">
        <f>[2]Sheet1!K472</f>
        <v>0.78</v>
      </c>
    </row>
    <row r="473" spans="1:16" x14ac:dyDescent="0.35">
      <c r="A473" t="s">
        <v>523</v>
      </c>
      <c r="B473" t="str">
        <f>TRIM([1]Sheet1!AD473)</f>
        <v>Monica Smith</v>
      </c>
      <c r="C473" t="str">
        <f>IF(UPPER(LEFT([1]Sheet1!W473,1))="F","FEMALE","MALE")</f>
        <v>FEMALE</v>
      </c>
      <c r="D473">
        <v>48</v>
      </c>
      <c r="E473" t="s">
        <v>50</v>
      </c>
      <c r="F473" t="s">
        <v>50</v>
      </c>
      <c r="G473" t="s">
        <v>51</v>
      </c>
      <c r="H473" t="s">
        <v>12</v>
      </c>
      <c r="I473" s="1">
        <v>7</v>
      </c>
      <c r="J473" s="1" t="str">
        <f t="shared" si="73"/>
        <v>5-10</v>
      </c>
      <c r="K473" s="1">
        <v>4.7</v>
      </c>
      <c r="L473" s="1">
        <v>50</v>
      </c>
      <c r="M473" s="1">
        <f t="shared" si="74"/>
        <v>50</v>
      </c>
      <c r="N473" s="1">
        <f t="shared" si="76"/>
        <v>50</v>
      </c>
      <c r="O473" t="s">
        <v>1054</v>
      </c>
      <c r="P473" s="4">
        <f>[2]Sheet1!K473</f>
        <v>0.6</v>
      </c>
    </row>
    <row r="474" spans="1:16" x14ac:dyDescent="0.35">
      <c r="A474" t="s">
        <v>524</v>
      </c>
      <c r="B474" t="str">
        <f>TRIM([1]Sheet1!AD474)</f>
        <v>Ian May</v>
      </c>
      <c r="C474" t="str">
        <f>IF(UPPER(LEFT([1]Sheet1!W474,1))="F","FEMALE","MALE")</f>
        <v>MALE</v>
      </c>
      <c r="D474">
        <v>36</v>
      </c>
      <c r="E474" t="s">
        <v>74</v>
      </c>
      <c r="F474" t="s">
        <v>74</v>
      </c>
      <c r="G474" t="s">
        <v>75</v>
      </c>
      <c r="H474" t="s">
        <v>8</v>
      </c>
      <c r="I474" s="1">
        <v>11</v>
      </c>
      <c r="J474" s="1" t="str">
        <f t="shared" si="73"/>
        <v>11-16</v>
      </c>
      <c r="K474" s="1">
        <v>1.3</v>
      </c>
      <c r="L474" s="2">
        <v>40</v>
      </c>
      <c r="M474" s="1">
        <f t="shared" si="74"/>
        <v>40</v>
      </c>
      <c r="N474" s="1">
        <f t="shared" si="76"/>
        <v>40</v>
      </c>
      <c r="O474" t="s">
        <v>1054</v>
      </c>
    </row>
    <row r="475" spans="1:16" x14ac:dyDescent="0.35">
      <c r="A475" t="s">
        <v>525</v>
      </c>
      <c r="B475" t="str">
        <f>TRIM([1]Sheet1!AD475)</f>
        <v>Kayla Meyers</v>
      </c>
      <c r="C475" t="str">
        <f>IF(UPPER(LEFT([1]Sheet1!W475,1))="F","FEMALE","MALE")</f>
        <v>FEMALE</v>
      </c>
      <c r="D475">
        <v>57</v>
      </c>
      <c r="E475" t="s">
        <v>96</v>
      </c>
      <c r="F475" t="s">
        <v>96</v>
      </c>
      <c r="G475" t="s">
        <v>97</v>
      </c>
      <c r="H475" t="s">
        <v>8</v>
      </c>
      <c r="J475" s="1" t="str">
        <f t="shared" si="73"/>
        <v>0-5</v>
      </c>
      <c r="K475" s="1">
        <v>4.8</v>
      </c>
      <c r="L475" s="1">
        <v>75</v>
      </c>
      <c r="M475" s="1">
        <f t="shared" si="74"/>
        <v>75</v>
      </c>
      <c r="N475" s="1">
        <f t="shared" si="76"/>
        <v>75</v>
      </c>
      <c r="O475" t="s">
        <v>1054</v>
      </c>
    </row>
    <row r="476" spans="1:16" x14ac:dyDescent="0.35">
      <c r="A476" t="s">
        <v>526</v>
      </c>
      <c r="B476" t="str">
        <f>TRIM([1]Sheet1!AD476)</f>
        <v>John Bray</v>
      </c>
      <c r="C476" t="str">
        <f>IF(UPPER(LEFT([1]Sheet1!W476,1))="F","FEMALE","MALE")</f>
        <v>MALE</v>
      </c>
      <c r="D476">
        <v>42</v>
      </c>
      <c r="E476" t="s">
        <v>30</v>
      </c>
      <c r="F476" t="s">
        <v>30</v>
      </c>
      <c r="G476" t="s">
        <v>11</v>
      </c>
      <c r="H476" t="s">
        <v>39</v>
      </c>
      <c r="I476" s="1">
        <v>14</v>
      </c>
      <c r="J476" s="1" t="str">
        <f t="shared" si="73"/>
        <v>11-16</v>
      </c>
      <c r="K476" s="1">
        <v>1.3</v>
      </c>
      <c r="L476" s="2">
        <v>30</v>
      </c>
      <c r="M476" s="1">
        <f t="shared" si="74"/>
        <v>30</v>
      </c>
      <c r="N476" s="1">
        <f t="shared" si="76"/>
        <v>30</v>
      </c>
      <c r="O476" t="s">
        <v>1053</v>
      </c>
      <c r="P476" s="4">
        <f>[2]Sheet1!K476</f>
        <v>0.94</v>
      </c>
    </row>
    <row r="477" spans="1:16" x14ac:dyDescent="0.35">
      <c r="A477" t="s">
        <v>527</v>
      </c>
      <c r="B477" t="str">
        <f>TRIM([1]Sheet1!AD477)</f>
        <v>James Smith</v>
      </c>
      <c r="C477" t="str">
        <f>IF(UPPER(LEFT([1]Sheet1!W477,1))="F","FEMALE","MALE")</f>
        <v>MALE</v>
      </c>
      <c r="D477">
        <v>31</v>
      </c>
      <c r="E477" t="s">
        <v>25</v>
      </c>
      <c r="F477" t="s">
        <v>25</v>
      </c>
      <c r="G477" t="s">
        <v>26</v>
      </c>
      <c r="H477" t="s">
        <v>41</v>
      </c>
      <c r="I477" s="1">
        <v>11</v>
      </c>
      <c r="J477" s="1" t="str">
        <f t="shared" si="73"/>
        <v>11-16</v>
      </c>
      <c r="K477" s="1">
        <v>4.3</v>
      </c>
      <c r="L477" s="2">
        <v>50</v>
      </c>
      <c r="M477" s="1">
        <f t="shared" si="74"/>
        <v>50</v>
      </c>
      <c r="N477" s="1">
        <f t="shared" si="76"/>
        <v>50</v>
      </c>
      <c r="O477" t="s">
        <v>1053</v>
      </c>
      <c r="P477" s="3">
        <f>[2]Sheet1!K477/100</f>
        <v>0.62</v>
      </c>
    </row>
    <row r="478" spans="1:16" x14ac:dyDescent="0.35">
      <c r="A478" t="s">
        <v>528</v>
      </c>
      <c r="B478" t="str">
        <f>TRIM([1]Sheet1!AD478)</f>
        <v>Mark Duncan</v>
      </c>
      <c r="C478" t="str">
        <f>IF(UPPER(LEFT([1]Sheet1!W478,1))="F","FEMALE","MALE")</f>
        <v>MALE</v>
      </c>
      <c r="D478">
        <v>52</v>
      </c>
      <c r="E478" t="s">
        <v>105</v>
      </c>
      <c r="F478" t="s">
        <v>105</v>
      </c>
      <c r="G478" t="s">
        <v>38</v>
      </c>
      <c r="H478" t="s">
        <v>41</v>
      </c>
      <c r="I478" s="1">
        <v>31</v>
      </c>
      <c r="J478" s="1" t="str">
        <f t="shared" si="73"/>
        <v>31+</v>
      </c>
      <c r="L478" s="1">
        <v>30</v>
      </c>
      <c r="M478" s="1">
        <f t="shared" si="74"/>
        <v>30</v>
      </c>
      <c r="N478" s="1">
        <f t="shared" si="76"/>
        <v>30</v>
      </c>
      <c r="O478" t="s">
        <v>1054</v>
      </c>
    </row>
    <row r="479" spans="1:16" x14ac:dyDescent="0.35">
      <c r="A479" t="s">
        <v>529</v>
      </c>
      <c r="B479" t="str">
        <f>TRIM([1]Sheet1!AD479)</f>
        <v>Matthew Gay</v>
      </c>
      <c r="C479" t="str">
        <f>IF(UPPER(LEFT([1]Sheet1!W479,1))="F","FEMALE","MALE")</f>
        <v>MALE</v>
      </c>
      <c r="D479">
        <v>56</v>
      </c>
      <c r="E479" t="s">
        <v>21</v>
      </c>
      <c r="F479" t="s">
        <v>21</v>
      </c>
      <c r="G479" t="s">
        <v>22</v>
      </c>
      <c r="H479" t="s">
        <v>48</v>
      </c>
      <c r="I479" s="1">
        <v>16</v>
      </c>
      <c r="J479" s="1" t="str">
        <f t="shared" si="73"/>
        <v>11-16</v>
      </c>
      <c r="K479" s="1">
        <v>0</v>
      </c>
      <c r="L479" s="1" t="s">
        <v>1066</v>
      </c>
      <c r="M479" s="1" t="str">
        <f t="shared" si="74"/>
        <v>USD 30</v>
      </c>
      <c r="N479" s="1">
        <v>30</v>
      </c>
      <c r="O479" t="s">
        <v>1054</v>
      </c>
    </row>
    <row r="480" spans="1:16" x14ac:dyDescent="0.35">
      <c r="A480" t="s">
        <v>530</v>
      </c>
      <c r="B480" t="str">
        <f>TRIM([1]Sheet1!AD480)</f>
        <v>Cheryl Freeman</v>
      </c>
      <c r="C480" t="str">
        <f>IF(UPPER(LEFT([1]Sheet1!W480,1))="F","FEMALE","MALE")</f>
        <v>FEMALE</v>
      </c>
      <c r="D480">
        <v>24</v>
      </c>
      <c r="E480" t="s">
        <v>21</v>
      </c>
      <c r="F480" t="s">
        <v>21</v>
      </c>
      <c r="G480" t="s">
        <v>22</v>
      </c>
      <c r="H480" t="s">
        <v>48</v>
      </c>
      <c r="I480" s="1">
        <v>6</v>
      </c>
      <c r="J480" s="1" t="str">
        <f t="shared" si="73"/>
        <v>5-10</v>
      </c>
      <c r="K480" s="1">
        <v>0</v>
      </c>
      <c r="L480" s="1">
        <v>30</v>
      </c>
      <c r="M480" s="1">
        <f t="shared" si="74"/>
        <v>30</v>
      </c>
      <c r="N480" s="1">
        <f t="shared" ref="N480:N489" si="77">M480</f>
        <v>30</v>
      </c>
      <c r="O480" t="s">
        <v>1054</v>
      </c>
      <c r="P480" s="4">
        <f>[2]Sheet1!K480</f>
        <v>0.84</v>
      </c>
    </row>
    <row r="481" spans="1:16" x14ac:dyDescent="0.35">
      <c r="A481" t="s">
        <v>531</v>
      </c>
      <c r="B481" t="str">
        <f>TRIM([1]Sheet1!AD481)</f>
        <v>Patrick Welch</v>
      </c>
      <c r="C481" t="str">
        <f>IF(UPPER(LEFT([1]Sheet1!W481,1))="F","FEMALE","MALE")</f>
        <v>MALE</v>
      </c>
      <c r="D481">
        <v>48</v>
      </c>
      <c r="E481" t="s">
        <v>70</v>
      </c>
      <c r="F481" t="s">
        <v>70</v>
      </c>
      <c r="G481" t="s">
        <v>11</v>
      </c>
      <c r="H481" t="s">
        <v>48</v>
      </c>
      <c r="I481" s="1">
        <v>21</v>
      </c>
      <c r="J481" s="1" t="str">
        <f t="shared" si="73"/>
        <v>21- 25</v>
      </c>
      <c r="K481" s="1">
        <v>2.7</v>
      </c>
      <c r="L481" s="1">
        <v>75</v>
      </c>
      <c r="M481" s="1">
        <f t="shared" si="74"/>
        <v>75</v>
      </c>
      <c r="N481" s="1">
        <f t="shared" si="77"/>
        <v>75</v>
      </c>
      <c r="O481" t="s">
        <v>1054</v>
      </c>
    </row>
    <row r="482" spans="1:16" x14ac:dyDescent="0.35">
      <c r="A482" t="s">
        <v>532</v>
      </c>
      <c r="B482" t="str">
        <f>TRIM([1]Sheet1!AD482)</f>
        <v>Craig Levine</v>
      </c>
      <c r="C482" t="str">
        <f>IF(UPPER(LEFT([1]Sheet1!W482,1))="F","FEMALE","MALE")</f>
        <v>MALE</v>
      </c>
      <c r="D482">
        <v>59</v>
      </c>
      <c r="E482" t="s">
        <v>74</v>
      </c>
      <c r="F482" t="s">
        <v>74</v>
      </c>
      <c r="G482" t="s">
        <v>75</v>
      </c>
      <c r="H482" t="s">
        <v>41</v>
      </c>
      <c r="I482" s="1">
        <v>13</v>
      </c>
      <c r="J482" s="1" t="str">
        <f t="shared" si="73"/>
        <v>11-16</v>
      </c>
      <c r="K482" s="1">
        <v>2.4</v>
      </c>
      <c r="L482" s="1">
        <v>40</v>
      </c>
      <c r="M482" s="1">
        <f t="shared" si="74"/>
        <v>40</v>
      </c>
      <c r="N482" s="1">
        <f t="shared" si="77"/>
        <v>40</v>
      </c>
      <c r="O482" t="s">
        <v>1053</v>
      </c>
      <c r="P482" s="3">
        <f>[2]Sheet1!K482/100</f>
        <v>0.65</v>
      </c>
    </row>
    <row r="483" spans="1:16" x14ac:dyDescent="0.35">
      <c r="A483" t="s">
        <v>533</v>
      </c>
      <c r="B483" t="str">
        <f>TRIM([1]Sheet1!AD483)</f>
        <v>Richard Harvey</v>
      </c>
      <c r="C483" t="str">
        <f>IF(UPPER(LEFT([1]Sheet1!W483,1))="F","FEMALE","MALE")</f>
        <v>MALE</v>
      </c>
      <c r="E483" t="s">
        <v>35</v>
      </c>
      <c r="F483" t="s">
        <v>35</v>
      </c>
      <c r="G483" t="s">
        <v>11</v>
      </c>
      <c r="H483" t="s">
        <v>18</v>
      </c>
      <c r="J483" s="1" t="str">
        <f t="shared" si="73"/>
        <v>0-5</v>
      </c>
      <c r="K483" s="1">
        <v>1.9</v>
      </c>
      <c r="L483" s="1">
        <v>40</v>
      </c>
      <c r="M483" s="1">
        <f t="shared" si="74"/>
        <v>40</v>
      </c>
      <c r="N483" s="1">
        <f t="shared" si="77"/>
        <v>40</v>
      </c>
      <c r="O483" t="s">
        <v>1054</v>
      </c>
      <c r="P483" s="4">
        <f>[2]Sheet1!K483</f>
        <v>0.94</v>
      </c>
    </row>
    <row r="484" spans="1:16" x14ac:dyDescent="0.35">
      <c r="A484" t="s">
        <v>534</v>
      </c>
      <c r="B484" t="str">
        <f>TRIM([1]Sheet1!AD484)</f>
        <v>Bonnie Sherman</v>
      </c>
      <c r="C484" t="str">
        <f>IF(UPPER(LEFT([1]Sheet1!W484,1))="F","FEMALE","MALE")</f>
        <v>FEMALE</v>
      </c>
      <c r="E484" t="s">
        <v>21</v>
      </c>
      <c r="F484" t="s">
        <v>21</v>
      </c>
      <c r="G484" t="s">
        <v>22</v>
      </c>
      <c r="H484" t="s">
        <v>12</v>
      </c>
      <c r="I484" s="1">
        <v>11</v>
      </c>
      <c r="J484" s="1" t="str">
        <f t="shared" si="73"/>
        <v>11-16</v>
      </c>
      <c r="K484" s="1">
        <v>3.6</v>
      </c>
      <c r="L484" s="2">
        <v>20</v>
      </c>
      <c r="M484" s="1">
        <f t="shared" si="74"/>
        <v>20</v>
      </c>
      <c r="N484" s="1">
        <f t="shared" si="77"/>
        <v>20</v>
      </c>
      <c r="O484" t="s">
        <v>1053</v>
      </c>
      <c r="P484" s="4">
        <f>[2]Sheet1!K484</f>
        <v>0.69</v>
      </c>
    </row>
    <row r="485" spans="1:16" x14ac:dyDescent="0.35">
      <c r="A485" t="s">
        <v>535</v>
      </c>
      <c r="B485" t="str">
        <f>TRIM([1]Sheet1!AD485)</f>
        <v>Keith Trujillo</v>
      </c>
      <c r="C485" t="str">
        <f>IF(UPPER(LEFT([1]Sheet1!W485,1))="F","FEMALE","MALE")</f>
        <v>MALE</v>
      </c>
      <c r="D485">
        <v>25</v>
      </c>
      <c r="E485" t="s">
        <v>21</v>
      </c>
      <c r="F485" t="s">
        <v>21</v>
      </c>
      <c r="G485" t="s">
        <v>22</v>
      </c>
      <c r="H485" t="s">
        <v>12</v>
      </c>
      <c r="I485" s="1">
        <v>0</v>
      </c>
      <c r="J485" s="1" t="str">
        <f t="shared" si="73"/>
        <v>0-5</v>
      </c>
      <c r="K485" s="1">
        <v>2.9</v>
      </c>
      <c r="L485" s="1">
        <v>50</v>
      </c>
      <c r="M485" s="1">
        <f t="shared" si="74"/>
        <v>50</v>
      </c>
      <c r="N485" s="1">
        <f t="shared" si="77"/>
        <v>50</v>
      </c>
      <c r="O485" t="s">
        <v>1054</v>
      </c>
      <c r="P485" s="4">
        <f>[2]Sheet1!K485</f>
        <v>0.65</v>
      </c>
    </row>
    <row r="486" spans="1:16" x14ac:dyDescent="0.35">
      <c r="A486" t="s">
        <v>536</v>
      </c>
      <c r="B486" t="str">
        <f>TRIM([1]Sheet1!AD486)</f>
        <v>Corey Combs</v>
      </c>
      <c r="C486" t="str">
        <f>IF(UPPER(LEFT([1]Sheet1!W486,1))="F","FEMALE","MALE")</f>
        <v>MALE</v>
      </c>
      <c r="D486">
        <v>31</v>
      </c>
      <c r="E486" t="s">
        <v>77</v>
      </c>
      <c r="F486" t="s">
        <v>77</v>
      </c>
      <c r="G486" t="s">
        <v>78</v>
      </c>
      <c r="H486" t="s">
        <v>12</v>
      </c>
      <c r="I486" s="1">
        <v>2</v>
      </c>
      <c r="J486" s="1" t="str">
        <f t="shared" si="73"/>
        <v>0-5</v>
      </c>
      <c r="K486" s="1">
        <v>2.8</v>
      </c>
      <c r="L486" s="2">
        <v>75</v>
      </c>
      <c r="M486" s="1">
        <f t="shared" si="74"/>
        <v>75</v>
      </c>
      <c r="N486" s="1">
        <f t="shared" si="77"/>
        <v>75</v>
      </c>
      <c r="O486" t="s">
        <v>1053</v>
      </c>
      <c r="P486" s="4">
        <f>[2]Sheet1!K486</f>
        <v>0.6</v>
      </c>
    </row>
    <row r="487" spans="1:16" x14ac:dyDescent="0.35">
      <c r="A487" t="s">
        <v>537</v>
      </c>
      <c r="B487" t="str">
        <f>TRIM([1]Sheet1!AD487)</f>
        <v>Antonio King</v>
      </c>
      <c r="C487" t="str">
        <f>IF(UPPER(LEFT([1]Sheet1!W487,1))="F","FEMALE","MALE")</f>
        <v>MALE</v>
      </c>
      <c r="D487">
        <v>40</v>
      </c>
      <c r="E487" t="s">
        <v>32</v>
      </c>
      <c r="F487" t="s">
        <v>32</v>
      </c>
      <c r="G487" t="s">
        <v>33</v>
      </c>
      <c r="H487" t="s">
        <v>48</v>
      </c>
      <c r="I487" s="1">
        <v>12</v>
      </c>
      <c r="J487" s="1" t="str">
        <f t="shared" si="73"/>
        <v>11-16</v>
      </c>
      <c r="K487" s="1">
        <v>2.6</v>
      </c>
      <c r="L487" s="1">
        <v>75</v>
      </c>
      <c r="M487" s="1">
        <f t="shared" si="74"/>
        <v>75</v>
      </c>
      <c r="N487" s="1">
        <f t="shared" si="77"/>
        <v>75</v>
      </c>
      <c r="O487" t="s">
        <v>1053</v>
      </c>
    </row>
    <row r="488" spans="1:16" x14ac:dyDescent="0.35">
      <c r="A488" t="s">
        <v>538</v>
      </c>
      <c r="B488" t="str">
        <f>TRIM([1]Sheet1!AD488)</f>
        <v>Amy Lee</v>
      </c>
      <c r="C488" t="str">
        <f>IF(UPPER(LEFT([1]Sheet1!W488,1))="F","FEMALE","MALE")</f>
        <v>FEMALE</v>
      </c>
      <c r="D488">
        <v>48</v>
      </c>
      <c r="E488" t="s">
        <v>67</v>
      </c>
      <c r="F488" t="s">
        <v>67</v>
      </c>
      <c r="G488" t="s">
        <v>68</v>
      </c>
      <c r="H488" t="s">
        <v>8</v>
      </c>
      <c r="I488" s="1">
        <v>13</v>
      </c>
      <c r="J488" s="1" t="str">
        <f t="shared" si="73"/>
        <v>11-16</v>
      </c>
      <c r="K488" s="1">
        <v>2.7</v>
      </c>
      <c r="L488" s="2">
        <v>100</v>
      </c>
      <c r="M488" s="1">
        <f t="shared" si="74"/>
        <v>100</v>
      </c>
      <c r="N488" s="1">
        <f t="shared" si="77"/>
        <v>100</v>
      </c>
      <c r="P488" s="4">
        <f>[2]Sheet1!K488</f>
        <v>0.62</v>
      </c>
    </row>
    <row r="489" spans="1:16" x14ac:dyDescent="0.35">
      <c r="A489" t="s">
        <v>539</v>
      </c>
      <c r="B489" t="str">
        <f>TRIM([1]Sheet1!AD489)</f>
        <v>Jennifer Rogers</v>
      </c>
      <c r="C489" t="str">
        <f>IF(UPPER(LEFT([1]Sheet1!W489,1))="F","FEMALE","MALE")</f>
        <v>FEMALE</v>
      </c>
      <c r="D489">
        <v>24</v>
      </c>
      <c r="E489" t="s">
        <v>85</v>
      </c>
      <c r="F489" t="s">
        <v>85</v>
      </c>
      <c r="G489" t="s">
        <v>86</v>
      </c>
      <c r="H489" t="s">
        <v>12</v>
      </c>
      <c r="I489" s="1">
        <v>6</v>
      </c>
      <c r="J489" s="1" t="str">
        <f t="shared" si="73"/>
        <v>5-10</v>
      </c>
      <c r="K489" s="1">
        <v>1.1000000000000001</v>
      </c>
      <c r="L489" s="1">
        <v>30</v>
      </c>
      <c r="M489" s="1">
        <f t="shared" si="74"/>
        <v>30</v>
      </c>
      <c r="N489" s="1">
        <f t="shared" si="77"/>
        <v>30</v>
      </c>
      <c r="O489" t="s">
        <v>1054</v>
      </c>
    </row>
    <row r="490" spans="1:16" x14ac:dyDescent="0.35">
      <c r="A490" t="s">
        <v>540</v>
      </c>
      <c r="B490" t="str">
        <f>TRIM([1]Sheet1!AD490)</f>
        <v>Jeffrey Cooper</v>
      </c>
      <c r="C490" t="str">
        <f>IF(UPPER(LEFT([1]Sheet1!W490,1))="F","FEMALE","MALE")</f>
        <v>MALE</v>
      </c>
      <c r="D490">
        <v>33</v>
      </c>
      <c r="E490" t="s">
        <v>25</v>
      </c>
      <c r="F490" t="s">
        <v>25</v>
      </c>
      <c r="G490" t="s">
        <v>26</v>
      </c>
      <c r="H490" t="s">
        <v>18</v>
      </c>
      <c r="I490" s="1">
        <v>10</v>
      </c>
      <c r="J490" s="1" t="str">
        <f t="shared" si="73"/>
        <v>5-10</v>
      </c>
      <c r="K490" s="1">
        <v>0</v>
      </c>
      <c r="L490" s="1" t="s">
        <v>1066</v>
      </c>
      <c r="M490" s="1" t="str">
        <f t="shared" si="74"/>
        <v>USD 30</v>
      </c>
      <c r="N490" s="1">
        <v>30</v>
      </c>
      <c r="O490" t="s">
        <v>1054</v>
      </c>
      <c r="P490" s="4">
        <f>[2]Sheet1!K490</f>
        <v>0.89</v>
      </c>
    </row>
    <row r="491" spans="1:16" x14ac:dyDescent="0.35">
      <c r="A491" t="s">
        <v>541</v>
      </c>
      <c r="B491" t="str">
        <f>TRIM([1]Sheet1!AD491)</f>
        <v>Allison Williams</v>
      </c>
      <c r="C491" t="str">
        <f>IF(UPPER(LEFT([1]Sheet1!W491,1))="F","FEMALE","MALE")</f>
        <v>FEMALE</v>
      </c>
      <c r="D491">
        <v>43</v>
      </c>
      <c r="E491" t="s">
        <v>57</v>
      </c>
      <c r="F491" t="s">
        <v>57</v>
      </c>
      <c r="G491" t="s">
        <v>58</v>
      </c>
      <c r="H491" t="s">
        <v>39</v>
      </c>
      <c r="I491" s="1">
        <v>2</v>
      </c>
      <c r="J491" s="1" t="str">
        <f t="shared" si="73"/>
        <v>0-5</v>
      </c>
      <c r="K491" s="1">
        <v>0</v>
      </c>
      <c r="L491" s="2">
        <v>40</v>
      </c>
      <c r="M491" s="1">
        <f t="shared" si="74"/>
        <v>40</v>
      </c>
      <c r="N491" s="1">
        <f t="shared" ref="N491:N499" si="78">M491</f>
        <v>40</v>
      </c>
      <c r="O491" t="s">
        <v>1054</v>
      </c>
      <c r="P491" s="4">
        <f>[2]Sheet1!K491</f>
        <v>0.89</v>
      </c>
    </row>
    <row r="492" spans="1:16" x14ac:dyDescent="0.35">
      <c r="A492" t="s">
        <v>542</v>
      </c>
      <c r="B492" t="str">
        <f>TRIM([1]Sheet1!AD492)</f>
        <v>Raymond Sherman</v>
      </c>
      <c r="C492" t="str">
        <f>IF(UPPER(LEFT([1]Sheet1!W492,1))="F","FEMALE","MALE")</f>
        <v>MALE</v>
      </c>
      <c r="D492">
        <v>43</v>
      </c>
      <c r="E492" t="s">
        <v>105</v>
      </c>
      <c r="F492" t="s">
        <v>105</v>
      </c>
      <c r="G492" t="s">
        <v>38</v>
      </c>
      <c r="H492" t="s">
        <v>8</v>
      </c>
      <c r="I492" s="1">
        <v>4</v>
      </c>
      <c r="J492" s="1" t="str">
        <f t="shared" si="73"/>
        <v>0-5</v>
      </c>
      <c r="K492" s="1">
        <v>0</v>
      </c>
      <c r="L492" s="1">
        <v>50</v>
      </c>
      <c r="M492" s="1">
        <f t="shared" si="74"/>
        <v>50</v>
      </c>
      <c r="N492" s="1">
        <f t="shared" si="78"/>
        <v>50</v>
      </c>
      <c r="O492" t="s">
        <v>1054</v>
      </c>
      <c r="P492" s="4">
        <f>[2]Sheet1!K492</f>
        <v>1</v>
      </c>
    </row>
    <row r="493" spans="1:16" x14ac:dyDescent="0.35">
      <c r="A493" t="s">
        <v>543</v>
      </c>
      <c r="B493" t="str">
        <f>TRIM([1]Sheet1!AD493)</f>
        <v>Jennifer Nelson</v>
      </c>
      <c r="C493" t="str">
        <f>IF(UPPER(LEFT([1]Sheet1!W493,1))="F","FEMALE","MALE")</f>
        <v>FEMALE</v>
      </c>
      <c r="D493">
        <v>33</v>
      </c>
      <c r="E493" t="s">
        <v>10</v>
      </c>
      <c r="F493" t="s">
        <v>10</v>
      </c>
      <c r="G493" t="s">
        <v>11</v>
      </c>
      <c r="H493" t="s">
        <v>18</v>
      </c>
      <c r="I493" s="1">
        <v>11</v>
      </c>
      <c r="J493" s="1" t="str">
        <f t="shared" si="73"/>
        <v>11-16</v>
      </c>
      <c r="K493" s="1">
        <v>4.5999999999999996</v>
      </c>
      <c r="M493" s="1">
        <f t="shared" si="74"/>
        <v>0</v>
      </c>
      <c r="N493" s="1">
        <f t="shared" si="78"/>
        <v>0</v>
      </c>
      <c r="O493" t="s">
        <v>1054</v>
      </c>
    </row>
    <row r="494" spans="1:16" x14ac:dyDescent="0.35">
      <c r="A494" t="s">
        <v>544</v>
      </c>
      <c r="B494" t="str">
        <f>TRIM([1]Sheet1!AD494)</f>
        <v>Jennifer Carter</v>
      </c>
      <c r="C494" t="str">
        <f>IF(UPPER(LEFT([1]Sheet1!W494,1))="F","FEMALE","MALE")</f>
        <v>FEMALE</v>
      </c>
      <c r="D494">
        <v>49</v>
      </c>
      <c r="E494" t="s">
        <v>67</v>
      </c>
      <c r="F494" t="s">
        <v>67</v>
      </c>
      <c r="G494" t="s">
        <v>68</v>
      </c>
      <c r="H494" t="s">
        <v>39</v>
      </c>
      <c r="I494" s="1">
        <v>14</v>
      </c>
      <c r="J494" s="1" t="str">
        <f t="shared" si="73"/>
        <v>11-16</v>
      </c>
      <c r="K494" s="1">
        <v>1.5</v>
      </c>
      <c r="L494" s="1">
        <v>40</v>
      </c>
      <c r="M494" s="1">
        <f t="shared" si="74"/>
        <v>40</v>
      </c>
      <c r="N494" s="1">
        <f t="shared" si="78"/>
        <v>40</v>
      </c>
      <c r="P494" s="4">
        <f>[2]Sheet1!K494</f>
        <v>0.6</v>
      </c>
    </row>
    <row r="495" spans="1:16" x14ac:dyDescent="0.35">
      <c r="A495" t="s">
        <v>545</v>
      </c>
      <c r="B495" t="str">
        <f>TRIM([1]Sheet1!AD495)</f>
        <v>Todd Williams</v>
      </c>
      <c r="C495" t="str">
        <f>IF(UPPER(LEFT([1]Sheet1!W495,1))="F","FEMALE","MALE")</f>
        <v>MALE</v>
      </c>
      <c r="D495">
        <v>55</v>
      </c>
      <c r="E495" t="s">
        <v>70</v>
      </c>
      <c r="F495" t="s">
        <v>70</v>
      </c>
      <c r="G495" t="s">
        <v>11</v>
      </c>
      <c r="H495" t="s">
        <v>39</v>
      </c>
      <c r="I495" s="1">
        <v>10</v>
      </c>
      <c r="J495" s="1" t="str">
        <f t="shared" si="73"/>
        <v>5-10</v>
      </c>
      <c r="K495" s="1">
        <v>2</v>
      </c>
      <c r="L495" s="1">
        <v>40</v>
      </c>
      <c r="M495" s="1">
        <f t="shared" si="74"/>
        <v>40</v>
      </c>
      <c r="N495" s="1">
        <f t="shared" si="78"/>
        <v>40</v>
      </c>
      <c r="O495" t="s">
        <v>1053</v>
      </c>
      <c r="P495" s="4">
        <f>[2]Sheet1!K495</f>
        <v>0.85</v>
      </c>
    </row>
    <row r="496" spans="1:16" x14ac:dyDescent="0.35">
      <c r="A496" t="s">
        <v>546</v>
      </c>
      <c r="B496" t="str">
        <f>TRIM([1]Sheet1!AD496)</f>
        <v>Emily Horton</v>
      </c>
      <c r="C496" t="str">
        <f>IF(UPPER(LEFT([1]Sheet1!W496,1))="F","FEMALE","MALE")</f>
        <v>FEMALE</v>
      </c>
      <c r="D496">
        <v>33</v>
      </c>
      <c r="E496" t="s">
        <v>60</v>
      </c>
      <c r="F496" t="s">
        <v>60</v>
      </c>
      <c r="G496" t="s">
        <v>61</v>
      </c>
      <c r="H496" t="s">
        <v>16</v>
      </c>
      <c r="I496" s="1">
        <v>3</v>
      </c>
      <c r="J496" s="1" t="str">
        <f t="shared" si="73"/>
        <v>0-5</v>
      </c>
      <c r="K496" s="1">
        <v>1.6</v>
      </c>
      <c r="L496" s="2">
        <v>40</v>
      </c>
      <c r="M496" s="1">
        <f t="shared" si="74"/>
        <v>40</v>
      </c>
      <c r="N496" s="1">
        <f t="shared" si="78"/>
        <v>40</v>
      </c>
      <c r="P496" s="4">
        <f>[2]Sheet1!K496</f>
        <v>0.83</v>
      </c>
    </row>
    <row r="497" spans="1:16" x14ac:dyDescent="0.35">
      <c r="A497" t="s">
        <v>547</v>
      </c>
      <c r="B497" t="str">
        <f>TRIM([1]Sheet1!AD497)</f>
        <v>Lance Lester</v>
      </c>
      <c r="C497" t="str">
        <f>IF(UPPER(LEFT([1]Sheet1!W497,1))="F","FEMALE","MALE")</f>
        <v>MALE</v>
      </c>
      <c r="D497">
        <v>32</v>
      </c>
      <c r="E497" t="s">
        <v>37</v>
      </c>
      <c r="F497" t="s">
        <v>37</v>
      </c>
      <c r="G497" t="s">
        <v>38</v>
      </c>
      <c r="H497" t="s">
        <v>23</v>
      </c>
      <c r="I497" s="1">
        <v>3</v>
      </c>
      <c r="J497" s="1" t="str">
        <f t="shared" si="73"/>
        <v>0-5</v>
      </c>
      <c r="K497" s="1">
        <v>1.5</v>
      </c>
      <c r="L497" s="2">
        <v>30</v>
      </c>
      <c r="M497" s="1">
        <f t="shared" si="74"/>
        <v>30</v>
      </c>
      <c r="N497" s="1">
        <f t="shared" si="78"/>
        <v>30</v>
      </c>
      <c r="O497" t="s">
        <v>1053</v>
      </c>
      <c r="P497" s="4">
        <f>[2]Sheet1!K497</f>
        <v>0.96</v>
      </c>
    </row>
    <row r="498" spans="1:16" x14ac:dyDescent="0.35">
      <c r="A498" t="s">
        <v>548</v>
      </c>
      <c r="B498" t="str">
        <f>TRIM([1]Sheet1!AD498)</f>
        <v>Kevin Flores</v>
      </c>
      <c r="C498" t="str">
        <f>IF(UPPER(LEFT([1]Sheet1!W498,1))="F","FEMALE","MALE")</f>
        <v>MALE</v>
      </c>
      <c r="D498">
        <v>58</v>
      </c>
      <c r="E498" t="s">
        <v>21</v>
      </c>
      <c r="F498" t="s">
        <v>21</v>
      </c>
      <c r="G498" t="s">
        <v>22</v>
      </c>
      <c r="H498" t="s">
        <v>8</v>
      </c>
      <c r="I498" s="1">
        <v>33</v>
      </c>
      <c r="J498" s="1" t="str">
        <f t="shared" si="73"/>
        <v>31+</v>
      </c>
      <c r="K498" s="1">
        <v>4.0999999999999996</v>
      </c>
      <c r="M498" s="1">
        <f t="shared" si="74"/>
        <v>0</v>
      </c>
      <c r="N498" s="1">
        <f t="shared" si="78"/>
        <v>0</v>
      </c>
      <c r="O498" t="s">
        <v>1054</v>
      </c>
      <c r="P498" s="4">
        <f>[2]Sheet1!K498</f>
        <v>0.83</v>
      </c>
    </row>
    <row r="499" spans="1:16" x14ac:dyDescent="0.35">
      <c r="A499" t="s">
        <v>549</v>
      </c>
      <c r="B499" t="str">
        <f>TRIM([1]Sheet1!AD499)</f>
        <v>Aaron Stewart PhD</v>
      </c>
      <c r="C499" t="str">
        <f>IF(UPPER(LEFT([1]Sheet1!W499,1))="F","FEMALE","MALE")</f>
        <v>MALE</v>
      </c>
      <c r="D499">
        <v>49</v>
      </c>
      <c r="E499" t="s">
        <v>25</v>
      </c>
      <c r="F499" t="s">
        <v>25</v>
      </c>
      <c r="G499" t="s">
        <v>26</v>
      </c>
      <c r="H499" t="s">
        <v>27</v>
      </c>
      <c r="I499" s="1">
        <v>24</v>
      </c>
      <c r="J499" s="1" t="str">
        <f t="shared" si="73"/>
        <v>21- 25</v>
      </c>
      <c r="K499" s="1">
        <v>4.7</v>
      </c>
      <c r="L499" s="1">
        <v>100</v>
      </c>
      <c r="M499" s="1">
        <f t="shared" si="74"/>
        <v>100</v>
      </c>
      <c r="N499" s="1">
        <f t="shared" si="78"/>
        <v>100</v>
      </c>
      <c r="O499" t="s">
        <v>1053</v>
      </c>
      <c r="P499" s="4">
        <f>[2]Sheet1!K499</f>
        <v>0.6</v>
      </c>
    </row>
    <row r="500" spans="1:16" x14ac:dyDescent="0.35">
      <c r="A500" t="s">
        <v>550</v>
      </c>
      <c r="B500" t="str">
        <f>TRIM([1]Sheet1!AD500)</f>
        <v>Robin Moore</v>
      </c>
      <c r="C500" t="str">
        <f>IF(UPPER(LEFT([1]Sheet1!W500,1))="F","FEMALE","MALE")</f>
        <v>FEMALE</v>
      </c>
      <c r="D500">
        <v>22</v>
      </c>
      <c r="E500" t="s">
        <v>67</v>
      </c>
      <c r="F500" t="s">
        <v>67</v>
      </c>
      <c r="G500" t="s">
        <v>68</v>
      </c>
      <c r="H500" t="s">
        <v>39</v>
      </c>
      <c r="I500" s="1">
        <v>3</v>
      </c>
      <c r="J500" s="1" t="str">
        <f t="shared" si="73"/>
        <v>0-5</v>
      </c>
      <c r="K500" s="1">
        <v>3.6</v>
      </c>
      <c r="L500" s="1" t="s">
        <v>1062</v>
      </c>
      <c r="M500" s="1" t="str">
        <f t="shared" si="74"/>
        <v>USD 100</v>
      </c>
      <c r="N500" s="1">
        <v>100</v>
      </c>
      <c r="O500" t="s">
        <v>1054</v>
      </c>
      <c r="P500" s="4">
        <f>[2]Sheet1!K500</f>
        <v>0.78</v>
      </c>
    </row>
    <row r="501" spans="1:16" x14ac:dyDescent="0.35">
      <c r="A501" t="s">
        <v>551</v>
      </c>
      <c r="B501" t="str">
        <f>TRIM([1]Sheet1!AD501)</f>
        <v>Suzanne Ingram</v>
      </c>
      <c r="C501" t="str">
        <f>IF(UPPER(LEFT([1]Sheet1!W501,1))="F","FEMALE","MALE")</f>
        <v>FEMALE</v>
      </c>
      <c r="D501">
        <v>40</v>
      </c>
      <c r="E501" t="s">
        <v>77</v>
      </c>
      <c r="F501" t="s">
        <v>77</v>
      </c>
      <c r="G501" t="s">
        <v>78</v>
      </c>
      <c r="H501" t="s">
        <v>18</v>
      </c>
      <c r="I501" s="1">
        <v>11</v>
      </c>
      <c r="J501" s="1" t="str">
        <f t="shared" si="73"/>
        <v>11-16</v>
      </c>
      <c r="K501" s="1">
        <v>1.8</v>
      </c>
      <c r="L501" s="2">
        <v>20</v>
      </c>
      <c r="M501" s="1">
        <f t="shared" si="74"/>
        <v>20</v>
      </c>
      <c r="N501" s="1">
        <f>M501</f>
        <v>20</v>
      </c>
      <c r="O501" t="s">
        <v>1054</v>
      </c>
      <c r="P501" s="4">
        <f>[2]Sheet1!K501</f>
        <v>0.9</v>
      </c>
    </row>
    <row r="502" spans="1:16" x14ac:dyDescent="0.35">
      <c r="A502" t="s">
        <v>552</v>
      </c>
      <c r="B502" t="str">
        <f>TRIM([1]Sheet1!AD502)</f>
        <v>Jacob Mclaughlin</v>
      </c>
      <c r="C502" t="str">
        <f>IF(UPPER(LEFT([1]Sheet1!W502,1))="F","FEMALE","MALE")</f>
        <v>MALE</v>
      </c>
      <c r="D502">
        <v>55</v>
      </c>
      <c r="E502" t="s">
        <v>10</v>
      </c>
      <c r="F502" t="s">
        <v>10</v>
      </c>
      <c r="G502" t="s">
        <v>11</v>
      </c>
      <c r="H502" t="s">
        <v>27</v>
      </c>
      <c r="I502" s="1">
        <v>7</v>
      </c>
      <c r="J502" s="1" t="str">
        <f t="shared" si="73"/>
        <v>5-10</v>
      </c>
      <c r="K502" s="1">
        <v>2.1</v>
      </c>
      <c r="L502" s="1" t="s">
        <v>1062</v>
      </c>
      <c r="M502" s="1" t="str">
        <f t="shared" si="74"/>
        <v>USD 100</v>
      </c>
      <c r="N502" s="1">
        <v>100</v>
      </c>
      <c r="O502" t="s">
        <v>1053</v>
      </c>
      <c r="P502" s="4">
        <f>[2]Sheet1!K502</f>
        <v>0.66</v>
      </c>
    </row>
    <row r="503" spans="1:16" x14ac:dyDescent="0.35">
      <c r="A503" t="s">
        <v>553</v>
      </c>
      <c r="B503" t="str">
        <f>TRIM([1]Sheet1!AD503)</f>
        <v>Michael Nunez</v>
      </c>
      <c r="C503" t="str">
        <f>IF(UPPER(LEFT([1]Sheet1!W503,1))="F","FEMALE","MALE")</f>
        <v>MALE</v>
      </c>
      <c r="D503">
        <v>32</v>
      </c>
      <c r="E503" t="s">
        <v>99</v>
      </c>
      <c r="F503" t="s">
        <v>99</v>
      </c>
      <c r="G503" t="s">
        <v>38</v>
      </c>
      <c r="H503" t="s">
        <v>48</v>
      </c>
      <c r="I503" s="1">
        <v>1</v>
      </c>
      <c r="J503" s="1" t="str">
        <f t="shared" si="73"/>
        <v>0-5</v>
      </c>
      <c r="L503" s="2">
        <v>50</v>
      </c>
      <c r="M503" s="1">
        <f t="shared" si="74"/>
        <v>50</v>
      </c>
      <c r="N503" s="1">
        <f>M503</f>
        <v>50</v>
      </c>
      <c r="O503" t="s">
        <v>1054</v>
      </c>
      <c r="P503" s="4">
        <f>[2]Sheet1!K503</f>
        <v>0.7</v>
      </c>
    </row>
    <row r="504" spans="1:16" x14ac:dyDescent="0.35">
      <c r="A504" t="s">
        <v>554</v>
      </c>
      <c r="B504" t="str">
        <f>TRIM([1]Sheet1!AD504)</f>
        <v>Isabel Brown</v>
      </c>
      <c r="C504" t="str">
        <f>IF(UPPER(LEFT([1]Sheet1!W504,1))="F","FEMALE","MALE")</f>
        <v>FEMALE</v>
      </c>
      <c r="D504">
        <v>21</v>
      </c>
      <c r="E504" t="s">
        <v>45</v>
      </c>
      <c r="F504" t="s">
        <v>45</v>
      </c>
      <c r="G504" t="s">
        <v>46</v>
      </c>
      <c r="H504" t="s">
        <v>39</v>
      </c>
      <c r="I504" s="1">
        <v>0</v>
      </c>
      <c r="J504" s="1" t="str">
        <f t="shared" si="73"/>
        <v>0-5</v>
      </c>
      <c r="K504" s="1">
        <v>4.2</v>
      </c>
      <c r="L504" s="1" t="s">
        <v>1066</v>
      </c>
      <c r="M504" s="1" t="str">
        <f t="shared" si="74"/>
        <v>USD 30</v>
      </c>
      <c r="N504" s="1">
        <v>30</v>
      </c>
      <c r="O504" t="s">
        <v>1054</v>
      </c>
      <c r="P504" s="4">
        <f>[2]Sheet1!K504</f>
        <v>0.79</v>
      </c>
    </row>
    <row r="505" spans="1:16" x14ac:dyDescent="0.35">
      <c r="A505" t="s">
        <v>555</v>
      </c>
      <c r="B505" t="str">
        <f>TRIM([1]Sheet1!AD505)</f>
        <v>Michael Stein</v>
      </c>
      <c r="C505" t="str">
        <f>IF(UPPER(LEFT([1]Sheet1!W505,1))="F","FEMALE","MALE")</f>
        <v>MALE</v>
      </c>
      <c r="D505">
        <v>23</v>
      </c>
      <c r="E505" t="s">
        <v>60</v>
      </c>
      <c r="F505" t="s">
        <v>60</v>
      </c>
      <c r="G505" t="s">
        <v>61</v>
      </c>
      <c r="H505" t="s">
        <v>8</v>
      </c>
      <c r="I505" s="1">
        <v>1</v>
      </c>
      <c r="J505" s="1" t="str">
        <f t="shared" si="73"/>
        <v>0-5</v>
      </c>
      <c r="K505" s="1">
        <v>0</v>
      </c>
      <c r="L505" s="1">
        <v>40</v>
      </c>
      <c r="M505" s="1">
        <f t="shared" si="74"/>
        <v>40</v>
      </c>
      <c r="N505" s="1">
        <f>M505</f>
        <v>40</v>
      </c>
      <c r="O505" t="s">
        <v>1053</v>
      </c>
      <c r="P505" s="4">
        <f>[2]Sheet1!K505</f>
        <v>0.64</v>
      </c>
    </row>
    <row r="506" spans="1:16" x14ac:dyDescent="0.35">
      <c r="A506" t="s">
        <v>556</v>
      </c>
      <c r="B506" t="str">
        <f>TRIM([1]Sheet1!AD506)</f>
        <v>Robert Stone</v>
      </c>
      <c r="C506" t="str">
        <f>IF(UPPER(LEFT([1]Sheet1!W506,1))="F","FEMALE","MALE")</f>
        <v>MALE</v>
      </c>
      <c r="D506">
        <v>21</v>
      </c>
      <c r="E506" t="s">
        <v>35</v>
      </c>
      <c r="F506" t="s">
        <v>35</v>
      </c>
      <c r="G506" t="s">
        <v>11</v>
      </c>
      <c r="H506" t="s">
        <v>12</v>
      </c>
      <c r="I506" s="1">
        <v>1</v>
      </c>
      <c r="J506" s="1" t="str">
        <f t="shared" si="73"/>
        <v>0-5</v>
      </c>
      <c r="K506" s="1">
        <v>1</v>
      </c>
      <c r="L506" s="1" t="s">
        <v>1066</v>
      </c>
      <c r="M506" s="1" t="str">
        <f t="shared" si="74"/>
        <v>USD 30</v>
      </c>
      <c r="N506" s="1">
        <v>30</v>
      </c>
      <c r="O506" t="s">
        <v>1053</v>
      </c>
      <c r="P506" s="4">
        <f>[2]Sheet1!K506</f>
        <v>0.81</v>
      </c>
    </row>
    <row r="507" spans="1:16" x14ac:dyDescent="0.35">
      <c r="A507" t="s">
        <v>557</v>
      </c>
      <c r="B507" t="str">
        <f>TRIM([1]Sheet1!AD507)</f>
        <v>Dillon Henry</v>
      </c>
      <c r="C507" t="str">
        <f>IF(UPPER(LEFT([1]Sheet1!W507,1))="F","FEMALE","MALE")</f>
        <v>MALE</v>
      </c>
      <c r="D507">
        <v>31</v>
      </c>
      <c r="E507" t="s">
        <v>37</v>
      </c>
      <c r="F507" t="s">
        <v>37</v>
      </c>
      <c r="G507" t="s">
        <v>38</v>
      </c>
      <c r="H507" t="s">
        <v>23</v>
      </c>
      <c r="I507" s="1">
        <v>7</v>
      </c>
      <c r="J507" s="1" t="str">
        <f t="shared" si="73"/>
        <v>5-10</v>
      </c>
      <c r="K507" s="1">
        <v>4.4000000000000004</v>
      </c>
      <c r="L507" s="1">
        <v>75</v>
      </c>
      <c r="M507" s="1">
        <f t="shared" si="74"/>
        <v>75</v>
      </c>
      <c r="N507" s="1">
        <f t="shared" ref="N507:N508" si="79">M507</f>
        <v>75</v>
      </c>
      <c r="O507" t="s">
        <v>1053</v>
      </c>
      <c r="P507" s="4">
        <f>[2]Sheet1!K507</f>
        <v>0.83</v>
      </c>
    </row>
    <row r="508" spans="1:16" x14ac:dyDescent="0.35">
      <c r="A508" t="s">
        <v>558</v>
      </c>
      <c r="B508" t="str">
        <f>TRIM([1]Sheet1!AD508)</f>
        <v>James Todd</v>
      </c>
      <c r="C508" t="str">
        <f>IF(UPPER(LEFT([1]Sheet1!W508,1))="F","FEMALE","MALE")</f>
        <v>MALE</v>
      </c>
      <c r="D508">
        <v>21</v>
      </c>
      <c r="E508" t="s">
        <v>99</v>
      </c>
      <c r="F508" t="s">
        <v>99</v>
      </c>
      <c r="G508" t="s">
        <v>38</v>
      </c>
      <c r="H508" t="s">
        <v>8</v>
      </c>
      <c r="J508" s="1" t="str">
        <f t="shared" si="73"/>
        <v>0-5</v>
      </c>
      <c r="K508" s="1">
        <v>4</v>
      </c>
      <c r="L508" s="1">
        <v>40</v>
      </c>
      <c r="M508" s="1">
        <f t="shared" si="74"/>
        <v>40</v>
      </c>
      <c r="N508" s="1">
        <f t="shared" si="79"/>
        <v>40</v>
      </c>
      <c r="O508" t="s">
        <v>1053</v>
      </c>
      <c r="P508" s="4">
        <f>[2]Sheet1!K508</f>
        <v>0.91</v>
      </c>
    </row>
    <row r="509" spans="1:16" x14ac:dyDescent="0.35">
      <c r="A509" t="s">
        <v>559</v>
      </c>
      <c r="B509" t="str">
        <f>TRIM([1]Sheet1!AD509)</f>
        <v>Clifford Moore MD</v>
      </c>
      <c r="C509" t="str">
        <f>IF(UPPER(LEFT([1]Sheet1!W509,1))="F","FEMALE","MALE")</f>
        <v>MALE</v>
      </c>
      <c r="D509">
        <v>33</v>
      </c>
      <c r="E509" t="s">
        <v>35</v>
      </c>
      <c r="F509" t="s">
        <v>35</v>
      </c>
      <c r="G509" t="s">
        <v>11</v>
      </c>
      <c r="H509" t="s">
        <v>41</v>
      </c>
      <c r="I509" s="1">
        <v>6</v>
      </c>
      <c r="J509" s="1" t="str">
        <f t="shared" si="73"/>
        <v>5-10</v>
      </c>
      <c r="K509" s="1">
        <v>3.1</v>
      </c>
      <c r="L509" s="1" t="s">
        <v>1065</v>
      </c>
      <c r="M509" s="1" t="str">
        <f t="shared" si="74"/>
        <v>USD 50</v>
      </c>
      <c r="N509" s="1">
        <v>50</v>
      </c>
      <c r="O509" t="s">
        <v>1053</v>
      </c>
    </row>
    <row r="510" spans="1:16" x14ac:dyDescent="0.35">
      <c r="A510" t="s">
        <v>560</v>
      </c>
      <c r="B510" t="str">
        <f>TRIM([1]Sheet1!AD510)</f>
        <v>John Rios</v>
      </c>
      <c r="C510" t="str">
        <f>IF(UPPER(LEFT([1]Sheet1!W510,1))="F","FEMALE","MALE")</f>
        <v>MALE</v>
      </c>
      <c r="D510">
        <v>57</v>
      </c>
      <c r="E510" t="s">
        <v>57</v>
      </c>
      <c r="F510" t="s">
        <v>57</v>
      </c>
      <c r="G510" t="s">
        <v>58</v>
      </c>
      <c r="H510" t="s">
        <v>18</v>
      </c>
      <c r="I510" s="1">
        <v>5</v>
      </c>
      <c r="J510" s="1" t="str">
        <f t="shared" si="73"/>
        <v>0-5</v>
      </c>
      <c r="K510" s="1">
        <v>1.1000000000000001</v>
      </c>
      <c r="L510" s="1">
        <v>75</v>
      </c>
      <c r="M510" s="1">
        <f t="shared" si="74"/>
        <v>75</v>
      </c>
      <c r="N510" s="1">
        <f>M510</f>
        <v>75</v>
      </c>
      <c r="O510" t="s">
        <v>1054</v>
      </c>
      <c r="P510" s="4">
        <f>[2]Sheet1!K510</f>
        <v>0.77</v>
      </c>
    </row>
    <row r="511" spans="1:16" x14ac:dyDescent="0.35">
      <c r="A511" t="s">
        <v>561</v>
      </c>
      <c r="B511" t="str">
        <f>TRIM([1]Sheet1!AD511)</f>
        <v>Anthony Gaines</v>
      </c>
      <c r="C511" t="str">
        <f>IF(UPPER(LEFT([1]Sheet1!W511,1))="F","FEMALE","MALE")</f>
        <v>MALE</v>
      </c>
      <c r="D511">
        <v>52</v>
      </c>
      <c r="E511" t="s">
        <v>30</v>
      </c>
      <c r="F511" t="s">
        <v>30</v>
      </c>
      <c r="G511" t="s">
        <v>11</v>
      </c>
      <c r="H511" t="s">
        <v>48</v>
      </c>
      <c r="I511" s="1">
        <v>17</v>
      </c>
      <c r="J511" s="1" t="str">
        <f t="shared" si="73"/>
        <v xml:space="preserve"> 16-20</v>
      </c>
      <c r="K511" s="1">
        <v>0</v>
      </c>
      <c r="L511" s="1" t="s">
        <v>1063</v>
      </c>
      <c r="M511" s="1" t="str">
        <f t="shared" si="74"/>
        <v>USD 75</v>
      </c>
      <c r="N511" s="1">
        <v>75</v>
      </c>
      <c r="O511" t="s">
        <v>1053</v>
      </c>
      <c r="P511" s="4">
        <f>[2]Sheet1!K511</f>
        <v>0.94</v>
      </c>
    </row>
    <row r="512" spans="1:16" x14ac:dyDescent="0.35">
      <c r="A512" t="s">
        <v>562</v>
      </c>
      <c r="B512" t="str">
        <f>TRIM([1]Sheet1!AD512)</f>
        <v>Kristi Brown DVM</v>
      </c>
      <c r="C512" t="str">
        <f>IF(UPPER(LEFT([1]Sheet1!W512,1))="F","FEMALE","MALE")</f>
        <v>FEMALE</v>
      </c>
      <c r="D512">
        <v>21</v>
      </c>
      <c r="E512" t="s">
        <v>14</v>
      </c>
      <c r="F512" t="s">
        <v>14</v>
      </c>
      <c r="G512" t="s">
        <v>15</v>
      </c>
      <c r="H512" t="s">
        <v>18</v>
      </c>
      <c r="I512" s="1">
        <v>0</v>
      </c>
      <c r="J512" s="1" t="str">
        <f t="shared" si="73"/>
        <v>0-5</v>
      </c>
      <c r="K512" s="1">
        <v>3.8</v>
      </c>
      <c r="L512" s="2">
        <v>20</v>
      </c>
      <c r="M512" s="1">
        <f t="shared" si="74"/>
        <v>20</v>
      </c>
      <c r="N512" s="1">
        <f t="shared" ref="N512:N515" si="80">M512</f>
        <v>20</v>
      </c>
      <c r="O512" t="s">
        <v>1054</v>
      </c>
      <c r="P512" s="4">
        <f>[2]Sheet1!K512</f>
        <v>0.61</v>
      </c>
    </row>
    <row r="513" spans="1:16" x14ac:dyDescent="0.35">
      <c r="A513" t="s">
        <v>563</v>
      </c>
      <c r="B513" t="str">
        <f>TRIM([1]Sheet1!AD513)</f>
        <v>Ashley Odonnell</v>
      </c>
      <c r="C513" t="str">
        <f>IF(UPPER(LEFT([1]Sheet1!W513,1))="F","FEMALE","MALE")</f>
        <v>FEMALE</v>
      </c>
      <c r="D513">
        <v>36</v>
      </c>
      <c r="E513" t="s">
        <v>37</v>
      </c>
      <c r="F513" t="s">
        <v>37</v>
      </c>
      <c r="G513" t="s">
        <v>38</v>
      </c>
      <c r="H513" t="s">
        <v>39</v>
      </c>
      <c r="I513" s="1">
        <v>8</v>
      </c>
      <c r="J513" s="1" t="str">
        <f t="shared" si="73"/>
        <v>5-10</v>
      </c>
      <c r="K513" s="1">
        <v>1.7</v>
      </c>
      <c r="L513" s="1">
        <v>100</v>
      </c>
      <c r="M513" s="1">
        <f t="shared" si="74"/>
        <v>100</v>
      </c>
      <c r="N513" s="1">
        <f t="shared" si="80"/>
        <v>100</v>
      </c>
      <c r="O513" t="s">
        <v>1053</v>
      </c>
      <c r="P513" s="4">
        <f>[2]Sheet1!K513</f>
        <v>0.68</v>
      </c>
    </row>
    <row r="514" spans="1:16" x14ac:dyDescent="0.35">
      <c r="A514" t="s">
        <v>564</v>
      </c>
      <c r="B514" t="str">
        <f>TRIM([1]Sheet1!AD514)</f>
        <v>Ronald Elliott</v>
      </c>
      <c r="C514" t="str">
        <f>IF(UPPER(LEFT([1]Sheet1!W514,1))="F","FEMALE","MALE")</f>
        <v>MALE</v>
      </c>
      <c r="D514">
        <v>33</v>
      </c>
      <c r="E514" t="s">
        <v>105</v>
      </c>
      <c r="F514" t="s">
        <v>105</v>
      </c>
      <c r="G514" t="s">
        <v>38</v>
      </c>
      <c r="H514" t="s">
        <v>62</v>
      </c>
      <c r="I514" s="1">
        <v>13</v>
      </c>
      <c r="J514" s="1" t="str">
        <f t="shared" ref="J514:J577" si="81">_xlfn.IFS(I514&lt;=5,"0-5",I514&lt;=10,"5-10",I514&lt;=16,"11-16",I514&lt;=20," 16-20",I514&lt;=25,"21- 25",I514&lt;=30,"26-30",I514&gt;30,"31+")</f>
        <v>11-16</v>
      </c>
      <c r="K514" s="1">
        <v>2.2000000000000002</v>
      </c>
      <c r="L514" s="1">
        <v>50</v>
      </c>
      <c r="M514" s="1">
        <f t="shared" si="74"/>
        <v>50</v>
      </c>
      <c r="N514" s="1">
        <f t="shared" si="80"/>
        <v>50</v>
      </c>
      <c r="O514" t="s">
        <v>1053</v>
      </c>
      <c r="P514" s="4">
        <f>[2]Sheet1!K514</f>
        <v>0.7</v>
      </c>
    </row>
    <row r="515" spans="1:16" x14ac:dyDescent="0.35">
      <c r="A515" t="s">
        <v>565</v>
      </c>
      <c r="B515" t="str">
        <f>TRIM([1]Sheet1!AD515)</f>
        <v>Lorraine Lowery</v>
      </c>
      <c r="C515" t="str">
        <f>IF(UPPER(LEFT([1]Sheet1!W515,1))="F","FEMALE","MALE")</f>
        <v>FEMALE</v>
      </c>
      <c r="D515">
        <v>54</v>
      </c>
      <c r="E515" t="s">
        <v>35</v>
      </c>
      <c r="F515" t="s">
        <v>35</v>
      </c>
      <c r="G515" t="s">
        <v>11</v>
      </c>
      <c r="H515" t="s">
        <v>27</v>
      </c>
      <c r="I515" s="1">
        <v>15</v>
      </c>
      <c r="J515" s="1" t="str">
        <f t="shared" si="81"/>
        <v>11-16</v>
      </c>
      <c r="K515" s="1">
        <v>4.0999999999999996</v>
      </c>
      <c r="L515" s="1">
        <v>40</v>
      </c>
      <c r="M515" s="1">
        <f t="shared" ref="M515:M578" si="82">L515</f>
        <v>40</v>
      </c>
      <c r="N515" s="1">
        <f t="shared" si="80"/>
        <v>40</v>
      </c>
      <c r="O515" t="s">
        <v>1054</v>
      </c>
      <c r="P515" s="3">
        <f>[2]Sheet1!K515/100</f>
        <v>0.71</v>
      </c>
    </row>
    <row r="516" spans="1:16" x14ac:dyDescent="0.35">
      <c r="A516" t="s">
        <v>566</v>
      </c>
      <c r="B516" t="str">
        <f>TRIM([1]Sheet1!AD516)</f>
        <v>Victoria Chapman</v>
      </c>
      <c r="C516" t="str">
        <f>IF(UPPER(LEFT([1]Sheet1!W516,1))="F","FEMALE","MALE")</f>
        <v>FEMALE</v>
      </c>
      <c r="D516">
        <v>33</v>
      </c>
      <c r="E516" t="s">
        <v>30</v>
      </c>
      <c r="F516" t="s">
        <v>30</v>
      </c>
      <c r="G516" t="s">
        <v>11</v>
      </c>
      <c r="H516" t="s">
        <v>8</v>
      </c>
      <c r="I516" s="1">
        <v>2</v>
      </c>
      <c r="J516" s="1" t="str">
        <f t="shared" si="81"/>
        <v>0-5</v>
      </c>
      <c r="K516" s="1">
        <v>3.8</v>
      </c>
      <c r="L516" s="1" t="s">
        <v>1062</v>
      </c>
      <c r="M516" s="1" t="str">
        <f t="shared" si="82"/>
        <v>USD 100</v>
      </c>
      <c r="N516" s="1">
        <v>100</v>
      </c>
      <c r="O516" t="s">
        <v>1053</v>
      </c>
    </row>
    <row r="517" spans="1:16" x14ac:dyDescent="0.35">
      <c r="A517" t="s">
        <v>567</v>
      </c>
      <c r="B517" t="str">
        <f>TRIM([1]Sheet1!AD517)</f>
        <v>Heather Davis</v>
      </c>
      <c r="C517" t="str">
        <f>IF(UPPER(LEFT([1]Sheet1!W517,1))="F","FEMALE","MALE")</f>
        <v>FEMALE</v>
      </c>
      <c r="D517">
        <v>36</v>
      </c>
      <c r="E517" t="s">
        <v>45</v>
      </c>
      <c r="F517" t="s">
        <v>45</v>
      </c>
      <c r="G517" t="s">
        <v>46</v>
      </c>
      <c r="H517" t="s">
        <v>62</v>
      </c>
      <c r="I517" s="1">
        <v>9</v>
      </c>
      <c r="J517" s="1" t="str">
        <f t="shared" si="81"/>
        <v>5-10</v>
      </c>
      <c r="K517" s="1">
        <v>0</v>
      </c>
      <c r="L517" s="2">
        <v>30</v>
      </c>
      <c r="M517" s="1">
        <f t="shared" si="82"/>
        <v>30</v>
      </c>
      <c r="N517" s="1">
        <f>M517</f>
        <v>30</v>
      </c>
      <c r="O517" t="s">
        <v>1054</v>
      </c>
      <c r="P517" s="4">
        <f>[2]Sheet1!K517</f>
        <v>0.78</v>
      </c>
    </row>
    <row r="518" spans="1:16" x14ac:dyDescent="0.35">
      <c r="A518" t="s">
        <v>568</v>
      </c>
      <c r="B518" t="str">
        <f>TRIM([1]Sheet1!AD518)</f>
        <v>Diana Chase</v>
      </c>
      <c r="C518" t="str">
        <f>IF(UPPER(LEFT([1]Sheet1!W518,1))="F","FEMALE","MALE")</f>
        <v>FEMALE</v>
      </c>
      <c r="D518">
        <v>36</v>
      </c>
      <c r="E518" t="s">
        <v>32</v>
      </c>
      <c r="F518" t="s">
        <v>32</v>
      </c>
      <c r="G518" t="s">
        <v>33</v>
      </c>
      <c r="H518" t="s">
        <v>23</v>
      </c>
      <c r="I518" s="1">
        <v>3</v>
      </c>
      <c r="J518" s="1" t="str">
        <f t="shared" si="81"/>
        <v>0-5</v>
      </c>
      <c r="K518" s="1">
        <v>0</v>
      </c>
      <c r="L518" s="1" t="s">
        <v>1065</v>
      </c>
      <c r="M518" s="1" t="str">
        <f t="shared" si="82"/>
        <v>USD 50</v>
      </c>
      <c r="N518" s="1">
        <v>50</v>
      </c>
      <c r="O518" t="s">
        <v>1053</v>
      </c>
      <c r="P518" s="3">
        <f>[2]Sheet1!K518/100</f>
        <v>0.75</v>
      </c>
    </row>
    <row r="519" spans="1:16" x14ac:dyDescent="0.35">
      <c r="A519" t="s">
        <v>569</v>
      </c>
      <c r="B519" t="str">
        <f>TRIM([1]Sheet1!AD519)</f>
        <v>Danielle Adkins</v>
      </c>
      <c r="C519" t="str">
        <f>IF(UPPER(LEFT([1]Sheet1!W519,1))="F","FEMALE","MALE")</f>
        <v>FEMALE</v>
      </c>
      <c r="D519">
        <v>43</v>
      </c>
      <c r="E519" t="s">
        <v>96</v>
      </c>
      <c r="F519" t="s">
        <v>96</v>
      </c>
      <c r="G519" t="s">
        <v>97</v>
      </c>
      <c r="H519" t="s">
        <v>23</v>
      </c>
      <c r="I519" s="1">
        <v>15</v>
      </c>
      <c r="J519" s="1" t="str">
        <f t="shared" si="81"/>
        <v>11-16</v>
      </c>
      <c r="K519" s="1">
        <v>4.2</v>
      </c>
      <c r="L519" s="2">
        <v>20</v>
      </c>
      <c r="M519" s="1">
        <f t="shared" si="82"/>
        <v>20</v>
      </c>
      <c r="N519" s="1">
        <f>M519</f>
        <v>20</v>
      </c>
      <c r="O519" t="s">
        <v>1054</v>
      </c>
      <c r="P519" s="4">
        <f>[2]Sheet1!K519</f>
        <v>0.91</v>
      </c>
    </row>
    <row r="520" spans="1:16" x14ac:dyDescent="0.35">
      <c r="A520" t="s">
        <v>570</v>
      </c>
      <c r="B520" t="str">
        <f>TRIM([1]Sheet1!AD520)</f>
        <v>Kenneth Arias</v>
      </c>
      <c r="C520" t="str">
        <f>IF(UPPER(LEFT([1]Sheet1!W520,1))="F","FEMALE","MALE")</f>
        <v>MALE</v>
      </c>
      <c r="D520">
        <v>52</v>
      </c>
      <c r="E520" t="s">
        <v>35</v>
      </c>
      <c r="F520" t="s">
        <v>35</v>
      </c>
      <c r="G520" t="s">
        <v>11</v>
      </c>
      <c r="H520" t="s">
        <v>27</v>
      </c>
      <c r="I520" s="1">
        <v>21</v>
      </c>
      <c r="J520" s="1" t="str">
        <f t="shared" si="81"/>
        <v>21- 25</v>
      </c>
      <c r="K520" s="1">
        <v>2.2000000000000002</v>
      </c>
      <c r="L520" s="1" t="s">
        <v>1063</v>
      </c>
      <c r="M520" s="1" t="str">
        <f t="shared" si="82"/>
        <v>USD 75</v>
      </c>
      <c r="N520" s="1">
        <v>75</v>
      </c>
      <c r="O520" t="s">
        <v>1054</v>
      </c>
      <c r="P520" s="4">
        <f>[2]Sheet1!K520</f>
        <v>0.66</v>
      </c>
    </row>
    <row r="521" spans="1:16" x14ac:dyDescent="0.35">
      <c r="A521" t="s">
        <v>571</v>
      </c>
      <c r="B521" t="str">
        <f>TRIM([1]Sheet1!AD521)</f>
        <v>Victoria Owen</v>
      </c>
      <c r="C521" t="str">
        <f>IF(UPPER(LEFT([1]Sheet1!W521,1))="F","FEMALE","MALE")</f>
        <v>FEMALE</v>
      </c>
      <c r="D521">
        <v>28</v>
      </c>
      <c r="E521" t="s">
        <v>25</v>
      </c>
      <c r="F521" t="s">
        <v>25</v>
      </c>
      <c r="G521" t="s">
        <v>26</v>
      </c>
      <c r="H521" t="s">
        <v>41</v>
      </c>
      <c r="I521" s="1">
        <v>2</v>
      </c>
      <c r="J521" s="1" t="str">
        <f t="shared" si="81"/>
        <v>0-5</v>
      </c>
      <c r="K521" s="1">
        <v>1.5</v>
      </c>
      <c r="L521" s="1" t="s">
        <v>1063</v>
      </c>
      <c r="M521" s="1" t="str">
        <f t="shared" si="82"/>
        <v>USD 75</v>
      </c>
      <c r="N521" s="1">
        <v>75</v>
      </c>
      <c r="O521" t="s">
        <v>1054</v>
      </c>
      <c r="P521" s="4">
        <f>[2]Sheet1!K521</f>
        <v>0.68</v>
      </c>
    </row>
    <row r="522" spans="1:16" x14ac:dyDescent="0.35">
      <c r="A522" t="s">
        <v>572</v>
      </c>
      <c r="B522" t="str">
        <f>TRIM([1]Sheet1!AD522)</f>
        <v>Christina King</v>
      </c>
      <c r="C522" t="str">
        <f>IF(UPPER(LEFT([1]Sheet1!W522,1))="F","FEMALE","MALE")</f>
        <v>FEMALE</v>
      </c>
      <c r="D522">
        <v>47</v>
      </c>
      <c r="E522" t="s">
        <v>96</v>
      </c>
      <c r="F522" t="s">
        <v>96</v>
      </c>
      <c r="G522" t="s">
        <v>97</v>
      </c>
      <c r="H522" t="s">
        <v>41</v>
      </c>
      <c r="I522" s="1">
        <v>21</v>
      </c>
      <c r="J522" s="1" t="str">
        <f t="shared" si="81"/>
        <v>21- 25</v>
      </c>
      <c r="K522" s="1">
        <v>0</v>
      </c>
      <c r="L522" s="2">
        <v>100</v>
      </c>
      <c r="M522" s="1">
        <f t="shared" si="82"/>
        <v>100</v>
      </c>
      <c r="N522" s="1">
        <f>M522</f>
        <v>100</v>
      </c>
      <c r="O522" t="s">
        <v>1053</v>
      </c>
    </row>
    <row r="523" spans="1:16" x14ac:dyDescent="0.35">
      <c r="A523" t="s">
        <v>573</v>
      </c>
      <c r="B523" t="str">
        <f>TRIM([1]Sheet1!AD523)</f>
        <v>Samantha King</v>
      </c>
      <c r="C523" t="str">
        <f>IF(UPPER(LEFT([1]Sheet1!W523,1))="F","FEMALE","MALE")</f>
        <v>FEMALE</v>
      </c>
      <c r="D523">
        <v>30</v>
      </c>
      <c r="E523" t="s">
        <v>74</v>
      </c>
      <c r="F523" t="s">
        <v>74</v>
      </c>
      <c r="G523" t="s">
        <v>75</v>
      </c>
      <c r="H523" t="s">
        <v>48</v>
      </c>
      <c r="I523" s="1">
        <v>0</v>
      </c>
      <c r="J523" s="1" t="str">
        <f t="shared" si="81"/>
        <v>0-5</v>
      </c>
      <c r="K523" s="1">
        <v>4.0999999999999996</v>
      </c>
      <c r="L523" s="1" t="s">
        <v>1062</v>
      </c>
      <c r="M523" s="1" t="str">
        <f t="shared" si="82"/>
        <v>USD 100</v>
      </c>
      <c r="N523" s="1">
        <v>100</v>
      </c>
      <c r="O523" t="s">
        <v>1053</v>
      </c>
      <c r="P523" s="4">
        <f>[2]Sheet1!K523</f>
        <v>0.62</v>
      </c>
    </row>
    <row r="524" spans="1:16" x14ac:dyDescent="0.35">
      <c r="A524" t="s">
        <v>574</v>
      </c>
      <c r="B524" t="str">
        <f>TRIM([1]Sheet1!AD524)</f>
        <v>Scott Compton</v>
      </c>
      <c r="C524" t="str">
        <f>IF(UPPER(LEFT([1]Sheet1!W524,1))="F","FEMALE","MALE")</f>
        <v>MALE</v>
      </c>
      <c r="D524">
        <v>36</v>
      </c>
      <c r="E524" t="s">
        <v>77</v>
      </c>
      <c r="F524" t="s">
        <v>77</v>
      </c>
      <c r="G524" t="s">
        <v>78</v>
      </c>
      <c r="H524" t="s">
        <v>8</v>
      </c>
      <c r="I524" s="1">
        <v>4</v>
      </c>
      <c r="J524" s="1" t="str">
        <f t="shared" si="81"/>
        <v>0-5</v>
      </c>
      <c r="K524" s="1">
        <v>2.6</v>
      </c>
      <c r="L524" s="1">
        <v>40</v>
      </c>
      <c r="M524" s="1">
        <f t="shared" si="82"/>
        <v>40</v>
      </c>
      <c r="N524" s="1">
        <f t="shared" ref="N524:N527" si="83">M524</f>
        <v>40</v>
      </c>
      <c r="O524" t="s">
        <v>1053</v>
      </c>
      <c r="P524" s="4">
        <f>[2]Sheet1!K524</f>
        <v>0.9</v>
      </c>
    </row>
    <row r="525" spans="1:16" x14ac:dyDescent="0.35">
      <c r="A525" t="s">
        <v>575</v>
      </c>
      <c r="B525" t="str">
        <f>TRIM([1]Sheet1!AD525)</f>
        <v>Monica West</v>
      </c>
      <c r="C525" t="str">
        <f>IF(UPPER(LEFT([1]Sheet1!W525,1))="F","FEMALE","MALE")</f>
        <v>FEMALE</v>
      </c>
      <c r="D525">
        <v>45</v>
      </c>
      <c r="E525" t="s">
        <v>30</v>
      </c>
      <c r="F525" t="s">
        <v>30</v>
      </c>
      <c r="G525" t="s">
        <v>11</v>
      </c>
      <c r="H525" t="s">
        <v>39</v>
      </c>
      <c r="I525" s="1">
        <v>23</v>
      </c>
      <c r="J525" s="1" t="str">
        <f t="shared" si="81"/>
        <v>21- 25</v>
      </c>
      <c r="K525" s="1">
        <v>2.4</v>
      </c>
      <c r="L525" s="1">
        <v>100</v>
      </c>
      <c r="M525" s="1">
        <f t="shared" si="82"/>
        <v>100</v>
      </c>
      <c r="N525" s="1">
        <f t="shared" si="83"/>
        <v>100</v>
      </c>
      <c r="O525" t="s">
        <v>1053</v>
      </c>
      <c r="P525" s="4">
        <f>[2]Sheet1!K525</f>
        <v>0.96</v>
      </c>
    </row>
    <row r="526" spans="1:16" x14ac:dyDescent="0.35">
      <c r="A526" t="s">
        <v>576</v>
      </c>
      <c r="B526" t="str">
        <f>TRIM([1]Sheet1!AD526)</f>
        <v>Theresa Stewart</v>
      </c>
      <c r="C526" t="str">
        <f>IF(UPPER(LEFT([1]Sheet1!W526,1))="F","FEMALE","MALE")</f>
        <v>FEMALE</v>
      </c>
      <c r="D526">
        <v>51</v>
      </c>
      <c r="E526" t="s">
        <v>30</v>
      </c>
      <c r="F526" t="s">
        <v>30</v>
      </c>
      <c r="G526" t="s">
        <v>11</v>
      </c>
      <c r="H526" t="s">
        <v>8</v>
      </c>
      <c r="I526" s="1">
        <v>25</v>
      </c>
      <c r="J526" s="1" t="str">
        <f t="shared" si="81"/>
        <v>21- 25</v>
      </c>
      <c r="K526" s="1">
        <v>1.4</v>
      </c>
      <c r="L526" s="1">
        <v>50</v>
      </c>
      <c r="M526" s="1">
        <f t="shared" si="82"/>
        <v>50</v>
      </c>
      <c r="N526" s="1">
        <f t="shared" si="83"/>
        <v>50</v>
      </c>
      <c r="O526" t="s">
        <v>1054</v>
      </c>
      <c r="P526" s="4">
        <f>[2]Sheet1!K526</f>
        <v>0.6</v>
      </c>
    </row>
    <row r="527" spans="1:16" x14ac:dyDescent="0.35">
      <c r="A527" t="s">
        <v>577</v>
      </c>
      <c r="B527" t="str">
        <f>TRIM([1]Sheet1!AD527)</f>
        <v>Steven Kim</v>
      </c>
      <c r="C527" t="str">
        <f>IF(UPPER(LEFT([1]Sheet1!W527,1))="F","FEMALE","MALE")</f>
        <v>MALE</v>
      </c>
      <c r="D527">
        <v>46</v>
      </c>
      <c r="E527" t="s">
        <v>32</v>
      </c>
      <c r="F527" t="s">
        <v>32</v>
      </c>
      <c r="G527" t="s">
        <v>33</v>
      </c>
      <c r="H527" t="s">
        <v>12</v>
      </c>
      <c r="I527" s="1">
        <v>10</v>
      </c>
      <c r="J527" s="1" t="str">
        <f t="shared" si="81"/>
        <v>5-10</v>
      </c>
      <c r="K527" s="1">
        <v>4.5999999999999996</v>
      </c>
      <c r="M527" s="1">
        <f t="shared" si="82"/>
        <v>0</v>
      </c>
      <c r="N527" s="1">
        <f t="shared" si="83"/>
        <v>0</v>
      </c>
      <c r="O527" t="s">
        <v>1054</v>
      </c>
      <c r="P527" s="4">
        <f>[2]Sheet1!K527</f>
        <v>0.62</v>
      </c>
    </row>
    <row r="528" spans="1:16" x14ac:dyDescent="0.35">
      <c r="A528" t="s">
        <v>578</v>
      </c>
      <c r="B528" t="str">
        <f>TRIM([1]Sheet1!AD528)</f>
        <v>Kristi Knight</v>
      </c>
      <c r="C528" t="str">
        <f>IF(UPPER(LEFT([1]Sheet1!W528,1))="F","FEMALE","MALE")</f>
        <v>FEMALE</v>
      </c>
      <c r="D528">
        <v>38</v>
      </c>
      <c r="E528" t="s">
        <v>6</v>
      </c>
      <c r="F528" t="s">
        <v>6</v>
      </c>
      <c r="G528" t="s">
        <v>7</v>
      </c>
      <c r="H528" t="s">
        <v>27</v>
      </c>
      <c r="I528" s="1">
        <v>18</v>
      </c>
      <c r="J528" s="1" t="str">
        <f t="shared" si="81"/>
        <v xml:space="preserve"> 16-20</v>
      </c>
      <c r="K528" s="1">
        <v>4.9000000000000004</v>
      </c>
      <c r="L528" s="1" t="s">
        <v>1064</v>
      </c>
      <c r="M528" s="1" t="str">
        <f t="shared" si="82"/>
        <v>USD 40</v>
      </c>
      <c r="N528" s="1">
        <v>40</v>
      </c>
      <c r="O528" t="s">
        <v>1053</v>
      </c>
      <c r="P528" s="4">
        <f>[2]Sheet1!K528</f>
        <v>0.74</v>
      </c>
    </row>
    <row r="529" spans="1:16" x14ac:dyDescent="0.35">
      <c r="A529" t="s">
        <v>579</v>
      </c>
      <c r="B529" t="str">
        <f>TRIM([1]Sheet1!AD529)</f>
        <v>Jason Bryant</v>
      </c>
      <c r="C529" t="str">
        <f>IF(UPPER(LEFT([1]Sheet1!W529,1))="F","FEMALE","MALE")</f>
        <v>MALE</v>
      </c>
      <c r="D529">
        <v>26</v>
      </c>
      <c r="E529" t="s">
        <v>105</v>
      </c>
      <c r="F529" t="s">
        <v>105</v>
      </c>
      <c r="G529" t="s">
        <v>38</v>
      </c>
      <c r="H529" t="s">
        <v>8</v>
      </c>
      <c r="I529" s="1">
        <v>1</v>
      </c>
      <c r="J529" s="1" t="str">
        <f t="shared" si="81"/>
        <v>0-5</v>
      </c>
      <c r="K529" s="1">
        <v>0</v>
      </c>
      <c r="L529" s="2">
        <v>20</v>
      </c>
      <c r="M529" s="1">
        <f t="shared" si="82"/>
        <v>20</v>
      </c>
      <c r="N529" s="1">
        <f t="shared" ref="N529:N532" si="84">M529</f>
        <v>20</v>
      </c>
      <c r="O529" t="s">
        <v>1054</v>
      </c>
    </row>
    <row r="530" spans="1:16" x14ac:dyDescent="0.35">
      <c r="A530" t="s">
        <v>580</v>
      </c>
      <c r="B530" t="str">
        <f>TRIM([1]Sheet1!AD530)</f>
        <v>Maureen Keith</v>
      </c>
      <c r="C530" t="str">
        <f>IF(UPPER(LEFT([1]Sheet1!W530,1))="F","FEMALE","MALE")</f>
        <v>FEMALE</v>
      </c>
      <c r="D530">
        <v>40</v>
      </c>
      <c r="E530" t="s">
        <v>35</v>
      </c>
      <c r="F530" t="s">
        <v>35</v>
      </c>
      <c r="G530" t="s">
        <v>11</v>
      </c>
      <c r="H530" t="s">
        <v>48</v>
      </c>
      <c r="I530" s="1">
        <v>12</v>
      </c>
      <c r="J530" s="1" t="str">
        <f t="shared" si="81"/>
        <v>11-16</v>
      </c>
      <c r="K530" s="1">
        <v>3.5</v>
      </c>
      <c r="L530" s="1">
        <v>30</v>
      </c>
      <c r="M530" s="1">
        <f t="shared" si="82"/>
        <v>30</v>
      </c>
      <c r="N530" s="1">
        <f t="shared" si="84"/>
        <v>30</v>
      </c>
      <c r="P530" s="4">
        <f>[2]Sheet1!K530</f>
        <v>0.98</v>
      </c>
    </row>
    <row r="531" spans="1:16" x14ac:dyDescent="0.35">
      <c r="A531" t="s">
        <v>581</v>
      </c>
      <c r="B531" t="str">
        <f>TRIM([1]Sheet1!AD531)</f>
        <v>Shawn Hogan</v>
      </c>
      <c r="C531" t="str">
        <f>IF(UPPER(LEFT([1]Sheet1!W531,1))="F","FEMALE","MALE")</f>
        <v>MALE</v>
      </c>
      <c r="D531">
        <v>37</v>
      </c>
      <c r="E531" t="s">
        <v>14</v>
      </c>
      <c r="F531" t="s">
        <v>14</v>
      </c>
      <c r="G531" t="s">
        <v>15</v>
      </c>
      <c r="H531" t="s">
        <v>62</v>
      </c>
      <c r="J531" s="1" t="str">
        <f t="shared" si="81"/>
        <v>0-5</v>
      </c>
      <c r="K531" s="1">
        <v>1.7</v>
      </c>
      <c r="M531" s="1">
        <f t="shared" si="82"/>
        <v>0</v>
      </c>
      <c r="N531" s="1">
        <f t="shared" si="84"/>
        <v>0</v>
      </c>
      <c r="O531" t="s">
        <v>1054</v>
      </c>
      <c r="P531" s="4">
        <f>[2]Sheet1!K531</f>
        <v>0.63</v>
      </c>
    </row>
    <row r="532" spans="1:16" x14ac:dyDescent="0.35">
      <c r="A532" t="s">
        <v>582</v>
      </c>
      <c r="B532" t="str">
        <f>TRIM([1]Sheet1!AD532)</f>
        <v>William Davis</v>
      </c>
      <c r="C532" t="str">
        <f>IF(UPPER(LEFT([1]Sheet1!W532,1))="F","FEMALE","MALE")</f>
        <v>MALE</v>
      </c>
      <c r="D532">
        <v>28</v>
      </c>
      <c r="E532" t="s">
        <v>70</v>
      </c>
      <c r="F532" t="s">
        <v>70</v>
      </c>
      <c r="G532" t="s">
        <v>11</v>
      </c>
      <c r="H532" t="s">
        <v>8</v>
      </c>
      <c r="I532" s="1">
        <v>5</v>
      </c>
      <c r="J532" s="1" t="str">
        <f t="shared" si="81"/>
        <v>0-5</v>
      </c>
      <c r="K532" s="1">
        <v>0</v>
      </c>
      <c r="L532" s="2">
        <v>50</v>
      </c>
      <c r="M532" s="1">
        <f t="shared" si="82"/>
        <v>50</v>
      </c>
      <c r="N532" s="1">
        <f t="shared" si="84"/>
        <v>50</v>
      </c>
      <c r="O532" t="s">
        <v>1054</v>
      </c>
      <c r="P532" s="3">
        <f>[2]Sheet1!K532/100</f>
        <v>0.96</v>
      </c>
    </row>
    <row r="533" spans="1:16" x14ac:dyDescent="0.35">
      <c r="A533" t="s">
        <v>583</v>
      </c>
      <c r="B533" t="str">
        <f>TRIM([1]Sheet1!AD533)</f>
        <v>Stacy Bailey</v>
      </c>
      <c r="C533" t="str">
        <f>IF(UPPER(LEFT([1]Sheet1!W533,1))="F","FEMALE","MALE")</f>
        <v>FEMALE</v>
      </c>
      <c r="D533">
        <v>48</v>
      </c>
      <c r="E533" t="s">
        <v>50</v>
      </c>
      <c r="F533" t="s">
        <v>50</v>
      </c>
      <c r="G533" t="s">
        <v>51</v>
      </c>
      <c r="H533" t="s">
        <v>12</v>
      </c>
      <c r="I533" s="1">
        <v>28</v>
      </c>
      <c r="J533" s="1" t="str">
        <f t="shared" si="81"/>
        <v>26-30</v>
      </c>
      <c r="K533" s="1">
        <v>0</v>
      </c>
      <c r="L533" s="1" t="s">
        <v>1067</v>
      </c>
      <c r="M533" s="1" t="str">
        <f t="shared" si="82"/>
        <v>USD 20</v>
      </c>
      <c r="N533" s="1">
        <v>20</v>
      </c>
      <c r="O533" t="s">
        <v>1053</v>
      </c>
      <c r="P533" s="4">
        <f>[2]Sheet1!K533</f>
        <v>0.88</v>
      </c>
    </row>
    <row r="534" spans="1:16" x14ac:dyDescent="0.35">
      <c r="A534" t="s">
        <v>584</v>
      </c>
      <c r="B534" t="str">
        <f>TRIM([1]Sheet1!AD534)</f>
        <v>Thomas Dixon</v>
      </c>
      <c r="C534" t="str">
        <f>IF(UPPER(LEFT([1]Sheet1!W534,1))="F","FEMALE","MALE")</f>
        <v>MALE</v>
      </c>
      <c r="D534">
        <v>22</v>
      </c>
      <c r="E534" t="s">
        <v>50</v>
      </c>
      <c r="F534" t="s">
        <v>50</v>
      </c>
      <c r="G534" t="s">
        <v>51</v>
      </c>
      <c r="H534" t="s">
        <v>23</v>
      </c>
      <c r="I534" s="1">
        <v>0</v>
      </c>
      <c r="J534" s="1" t="str">
        <f t="shared" si="81"/>
        <v>0-5</v>
      </c>
      <c r="K534" s="1">
        <v>4.5999999999999996</v>
      </c>
      <c r="M534" s="1">
        <f t="shared" si="82"/>
        <v>0</v>
      </c>
      <c r="N534" s="1">
        <f t="shared" ref="N534:N540" si="85">M534</f>
        <v>0</v>
      </c>
      <c r="O534" t="s">
        <v>1053</v>
      </c>
    </row>
    <row r="535" spans="1:16" x14ac:dyDescent="0.35">
      <c r="A535" t="s">
        <v>585</v>
      </c>
      <c r="B535" t="str">
        <f>TRIM([1]Sheet1!AD535)</f>
        <v>Maria Hall</v>
      </c>
      <c r="C535" t="str">
        <f>IF(UPPER(LEFT([1]Sheet1!W535,1))="F","FEMALE","MALE")</f>
        <v>FEMALE</v>
      </c>
      <c r="D535">
        <v>41</v>
      </c>
      <c r="E535" t="s">
        <v>14</v>
      </c>
      <c r="F535" t="s">
        <v>14</v>
      </c>
      <c r="G535" t="s">
        <v>15</v>
      </c>
      <c r="H535" t="s">
        <v>18</v>
      </c>
      <c r="I535" s="1">
        <v>14</v>
      </c>
      <c r="J535" s="1" t="str">
        <f t="shared" si="81"/>
        <v>11-16</v>
      </c>
      <c r="K535" s="1">
        <v>1.1000000000000001</v>
      </c>
      <c r="L535" s="1">
        <v>40</v>
      </c>
      <c r="M535" s="1">
        <f t="shared" si="82"/>
        <v>40</v>
      </c>
      <c r="N535" s="1">
        <f t="shared" si="85"/>
        <v>40</v>
      </c>
      <c r="O535" t="s">
        <v>1054</v>
      </c>
      <c r="P535" s="4">
        <f>[2]Sheet1!K535</f>
        <v>0.73</v>
      </c>
    </row>
    <row r="536" spans="1:16" x14ac:dyDescent="0.35">
      <c r="A536" t="s">
        <v>586</v>
      </c>
      <c r="B536" t="str">
        <f>TRIM([1]Sheet1!AD536)</f>
        <v>Tony Lee</v>
      </c>
      <c r="C536" t="str">
        <f>IF(UPPER(LEFT([1]Sheet1!W536,1))="F","FEMALE","MALE")</f>
        <v>MALE</v>
      </c>
      <c r="D536">
        <v>38</v>
      </c>
      <c r="E536" t="s">
        <v>30</v>
      </c>
      <c r="F536" t="s">
        <v>30</v>
      </c>
      <c r="G536" t="s">
        <v>11</v>
      </c>
      <c r="H536" t="s">
        <v>16</v>
      </c>
      <c r="I536" s="1">
        <v>15</v>
      </c>
      <c r="J536" s="1" t="str">
        <f t="shared" si="81"/>
        <v>11-16</v>
      </c>
      <c r="K536" s="1">
        <v>4.2</v>
      </c>
      <c r="M536" s="1">
        <f t="shared" si="82"/>
        <v>0</v>
      </c>
      <c r="N536" s="1">
        <f t="shared" si="85"/>
        <v>0</v>
      </c>
      <c r="O536" t="s">
        <v>1053</v>
      </c>
      <c r="P536" s="4">
        <f>[2]Sheet1!K536</f>
        <v>0.88</v>
      </c>
    </row>
    <row r="537" spans="1:16" x14ac:dyDescent="0.35">
      <c r="A537" t="s">
        <v>587</v>
      </c>
      <c r="B537" t="str">
        <f>TRIM([1]Sheet1!AD537)</f>
        <v>Catherine Mccoy MD</v>
      </c>
      <c r="C537" t="str">
        <f>IF(UPPER(LEFT([1]Sheet1!W537,1))="F","FEMALE","MALE")</f>
        <v>FEMALE</v>
      </c>
      <c r="D537">
        <v>31</v>
      </c>
      <c r="E537" t="s">
        <v>85</v>
      </c>
      <c r="F537" t="s">
        <v>85</v>
      </c>
      <c r="G537" t="s">
        <v>86</v>
      </c>
      <c r="H537" t="s">
        <v>39</v>
      </c>
      <c r="I537" s="1">
        <v>9</v>
      </c>
      <c r="J537" s="1" t="str">
        <f t="shared" si="81"/>
        <v>5-10</v>
      </c>
      <c r="K537" s="1">
        <v>0</v>
      </c>
      <c r="M537" s="1">
        <f t="shared" si="82"/>
        <v>0</v>
      </c>
      <c r="N537" s="1">
        <f t="shared" si="85"/>
        <v>0</v>
      </c>
      <c r="O537" t="s">
        <v>1053</v>
      </c>
      <c r="P537" s="4">
        <f>[2]Sheet1!K537</f>
        <v>0.91</v>
      </c>
    </row>
    <row r="538" spans="1:16" x14ac:dyDescent="0.35">
      <c r="A538" t="s">
        <v>588</v>
      </c>
      <c r="B538" t="str">
        <f>TRIM([1]Sheet1!AD538)</f>
        <v>Maria Benitez</v>
      </c>
      <c r="C538" t="str">
        <f>IF(UPPER(LEFT([1]Sheet1!W538,1))="F","FEMALE","MALE")</f>
        <v>FEMALE</v>
      </c>
      <c r="D538">
        <v>30</v>
      </c>
      <c r="E538" t="s">
        <v>96</v>
      </c>
      <c r="F538" t="s">
        <v>96</v>
      </c>
      <c r="G538" t="s">
        <v>97</v>
      </c>
      <c r="H538" t="s">
        <v>12</v>
      </c>
      <c r="I538" s="1">
        <v>9</v>
      </c>
      <c r="J538" s="1" t="str">
        <f t="shared" si="81"/>
        <v>5-10</v>
      </c>
      <c r="K538" s="1">
        <v>3.9</v>
      </c>
      <c r="L538" s="2">
        <v>30</v>
      </c>
      <c r="M538" s="1">
        <f t="shared" si="82"/>
        <v>30</v>
      </c>
      <c r="N538" s="1">
        <f t="shared" si="85"/>
        <v>30</v>
      </c>
      <c r="O538" t="s">
        <v>1053</v>
      </c>
      <c r="P538" s="4">
        <f>[2]Sheet1!K538</f>
        <v>0.65</v>
      </c>
    </row>
    <row r="539" spans="1:16" x14ac:dyDescent="0.35">
      <c r="A539" t="s">
        <v>589</v>
      </c>
      <c r="B539" t="str">
        <f>TRIM([1]Sheet1!AD539)</f>
        <v>Joshua Chambers</v>
      </c>
      <c r="C539" t="str">
        <f>IF(UPPER(LEFT([1]Sheet1!W539,1))="F","FEMALE","MALE")</f>
        <v>MALE</v>
      </c>
      <c r="D539">
        <v>51</v>
      </c>
      <c r="E539" t="s">
        <v>99</v>
      </c>
      <c r="F539" t="s">
        <v>99</v>
      </c>
      <c r="G539" t="s">
        <v>38</v>
      </c>
      <c r="H539" t="s">
        <v>39</v>
      </c>
      <c r="I539" s="1">
        <v>22</v>
      </c>
      <c r="J539" s="1" t="str">
        <f t="shared" si="81"/>
        <v>21- 25</v>
      </c>
      <c r="K539" s="1">
        <v>3.4</v>
      </c>
      <c r="L539" s="1">
        <v>20</v>
      </c>
      <c r="M539" s="1">
        <f t="shared" si="82"/>
        <v>20</v>
      </c>
      <c r="N539" s="1">
        <f t="shared" si="85"/>
        <v>20</v>
      </c>
      <c r="O539" t="s">
        <v>1054</v>
      </c>
      <c r="P539" s="3">
        <f>[2]Sheet1!K539/100</f>
        <v>0.9</v>
      </c>
    </row>
    <row r="540" spans="1:16" x14ac:dyDescent="0.35">
      <c r="A540" t="s">
        <v>590</v>
      </c>
      <c r="B540" t="str">
        <f>TRIM([1]Sheet1!AD540)</f>
        <v>Janice Daniels</v>
      </c>
      <c r="C540" t="str">
        <f>IF(UPPER(LEFT([1]Sheet1!W540,1))="F","FEMALE","MALE")</f>
        <v>FEMALE</v>
      </c>
      <c r="D540">
        <v>21</v>
      </c>
      <c r="E540" t="s">
        <v>14</v>
      </c>
      <c r="F540" t="s">
        <v>14</v>
      </c>
      <c r="G540" t="s">
        <v>15</v>
      </c>
      <c r="H540" t="s">
        <v>48</v>
      </c>
      <c r="I540" s="1">
        <v>0</v>
      </c>
      <c r="J540" s="1" t="str">
        <f t="shared" si="81"/>
        <v>0-5</v>
      </c>
      <c r="K540" s="1">
        <v>2.6</v>
      </c>
      <c r="L540" s="2">
        <v>20</v>
      </c>
      <c r="M540" s="1">
        <f t="shared" si="82"/>
        <v>20</v>
      </c>
      <c r="N540" s="1">
        <f t="shared" si="85"/>
        <v>20</v>
      </c>
      <c r="O540" t="s">
        <v>1053</v>
      </c>
      <c r="P540" s="4">
        <f>[2]Sheet1!K540</f>
        <v>0.72</v>
      </c>
    </row>
    <row r="541" spans="1:16" x14ac:dyDescent="0.35">
      <c r="A541" t="s">
        <v>591</v>
      </c>
      <c r="B541" t="str">
        <f>TRIM([1]Sheet1!AD541)</f>
        <v>Carla Wood</v>
      </c>
      <c r="C541" t="str">
        <f>IF(UPPER(LEFT([1]Sheet1!W541,1))="F","FEMALE","MALE")</f>
        <v>FEMALE</v>
      </c>
      <c r="D541">
        <v>20</v>
      </c>
      <c r="E541" t="s">
        <v>6</v>
      </c>
      <c r="F541" t="s">
        <v>6</v>
      </c>
      <c r="G541" t="s">
        <v>7</v>
      </c>
      <c r="H541" t="s">
        <v>48</v>
      </c>
      <c r="I541" s="1">
        <v>1</v>
      </c>
      <c r="J541" s="1" t="str">
        <f t="shared" si="81"/>
        <v>0-5</v>
      </c>
      <c r="K541" s="1">
        <v>2.2999999999999998</v>
      </c>
      <c r="L541" s="1" t="s">
        <v>1064</v>
      </c>
      <c r="M541" s="1" t="str">
        <f t="shared" si="82"/>
        <v>USD 40</v>
      </c>
      <c r="N541" s="1">
        <v>40</v>
      </c>
      <c r="O541" t="s">
        <v>1054</v>
      </c>
      <c r="P541" s="4">
        <f>[2]Sheet1!K541</f>
        <v>0.72</v>
      </c>
    </row>
    <row r="542" spans="1:16" x14ac:dyDescent="0.35">
      <c r="A542" t="s">
        <v>592</v>
      </c>
      <c r="B542" t="str">
        <f>TRIM([1]Sheet1!AD542)</f>
        <v>Kenneth Vasquez</v>
      </c>
      <c r="C542" t="str">
        <f>IF(UPPER(LEFT([1]Sheet1!W542,1))="F","FEMALE","MALE")</f>
        <v>MALE</v>
      </c>
      <c r="D542">
        <v>30</v>
      </c>
      <c r="E542" t="s">
        <v>45</v>
      </c>
      <c r="F542" t="s">
        <v>45</v>
      </c>
      <c r="G542" t="s">
        <v>46</v>
      </c>
      <c r="H542" t="s">
        <v>8</v>
      </c>
      <c r="I542" s="1">
        <v>5</v>
      </c>
      <c r="J542" s="1" t="str">
        <f t="shared" si="81"/>
        <v>0-5</v>
      </c>
      <c r="K542" s="1">
        <v>4.8</v>
      </c>
      <c r="L542" s="2">
        <v>30</v>
      </c>
      <c r="M542" s="1">
        <f t="shared" si="82"/>
        <v>30</v>
      </c>
      <c r="N542" s="1">
        <f>M542</f>
        <v>30</v>
      </c>
      <c r="O542" t="s">
        <v>1053</v>
      </c>
    </row>
    <row r="543" spans="1:16" x14ac:dyDescent="0.35">
      <c r="A543" t="s">
        <v>593</v>
      </c>
      <c r="B543" t="str">
        <f>TRIM([1]Sheet1!AD543)</f>
        <v>Kevin Smith</v>
      </c>
      <c r="C543" t="str">
        <f>IF(UPPER(LEFT([1]Sheet1!W543,1))="F","FEMALE","MALE")</f>
        <v>MALE</v>
      </c>
      <c r="D543">
        <v>41</v>
      </c>
      <c r="E543" t="s">
        <v>96</v>
      </c>
      <c r="F543" t="s">
        <v>96</v>
      </c>
      <c r="G543" t="s">
        <v>97</v>
      </c>
      <c r="H543" t="s">
        <v>27</v>
      </c>
      <c r="I543" s="1">
        <v>0</v>
      </c>
      <c r="J543" s="1" t="str">
        <f t="shared" si="81"/>
        <v>0-5</v>
      </c>
      <c r="K543" s="1">
        <v>4.5</v>
      </c>
      <c r="L543" s="1" t="s">
        <v>1064</v>
      </c>
      <c r="M543" s="1" t="str">
        <f t="shared" si="82"/>
        <v>USD 40</v>
      </c>
      <c r="N543" s="1">
        <v>40</v>
      </c>
      <c r="O543" t="s">
        <v>1053</v>
      </c>
      <c r="P543" s="4">
        <f>[2]Sheet1!K543</f>
        <v>0.68</v>
      </c>
    </row>
    <row r="544" spans="1:16" x14ac:dyDescent="0.35">
      <c r="A544" t="s">
        <v>594</v>
      </c>
      <c r="B544" t="str">
        <f>TRIM([1]Sheet1!AD544)</f>
        <v>Thomas Kim</v>
      </c>
      <c r="C544" t="str">
        <f>IF(UPPER(LEFT([1]Sheet1!W544,1))="F","FEMALE","MALE")</f>
        <v>MALE</v>
      </c>
      <c r="D544">
        <v>22</v>
      </c>
      <c r="E544" t="s">
        <v>105</v>
      </c>
      <c r="F544" t="s">
        <v>105</v>
      </c>
      <c r="G544" t="s">
        <v>38</v>
      </c>
      <c r="H544" t="s">
        <v>8</v>
      </c>
      <c r="I544" s="1">
        <v>0</v>
      </c>
      <c r="J544" s="1" t="str">
        <f t="shared" si="81"/>
        <v>0-5</v>
      </c>
      <c r="K544" s="1">
        <v>0</v>
      </c>
      <c r="L544" s="2">
        <v>30</v>
      </c>
      <c r="M544" s="1">
        <f t="shared" si="82"/>
        <v>30</v>
      </c>
      <c r="N544" s="1">
        <f t="shared" ref="N544:N550" si="86">M544</f>
        <v>30</v>
      </c>
      <c r="O544" t="s">
        <v>1053</v>
      </c>
      <c r="P544" s="4">
        <f>[2]Sheet1!K544</f>
        <v>0.87</v>
      </c>
    </row>
    <row r="545" spans="1:16" x14ac:dyDescent="0.35">
      <c r="A545" t="s">
        <v>595</v>
      </c>
      <c r="B545" t="str">
        <f>TRIM([1]Sheet1!AD545)</f>
        <v>Sean Park</v>
      </c>
      <c r="C545" t="str">
        <f>IF(UPPER(LEFT([1]Sheet1!W545,1))="F","FEMALE","MALE")</f>
        <v>MALE</v>
      </c>
      <c r="D545">
        <v>45</v>
      </c>
      <c r="E545" t="s">
        <v>99</v>
      </c>
      <c r="F545" t="s">
        <v>99</v>
      </c>
      <c r="G545" t="s">
        <v>38</v>
      </c>
      <c r="H545" t="s">
        <v>41</v>
      </c>
      <c r="I545" s="1">
        <v>19</v>
      </c>
      <c r="J545" s="1" t="str">
        <f t="shared" si="81"/>
        <v xml:space="preserve"> 16-20</v>
      </c>
      <c r="K545" s="1">
        <v>0</v>
      </c>
      <c r="L545" s="1">
        <v>75</v>
      </c>
      <c r="M545" s="1">
        <f t="shared" si="82"/>
        <v>75</v>
      </c>
      <c r="N545" s="1">
        <f t="shared" si="86"/>
        <v>75</v>
      </c>
      <c r="O545" t="s">
        <v>1053</v>
      </c>
      <c r="P545" s="4">
        <f>[2]Sheet1!K545</f>
        <v>0.72</v>
      </c>
    </row>
    <row r="546" spans="1:16" x14ac:dyDescent="0.35">
      <c r="A546" t="s">
        <v>596</v>
      </c>
      <c r="B546" t="str">
        <f>TRIM([1]Sheet1!AD546)</f>
        <v>Judith Poole</v>
      </c>
      <c r="C546" t="str">
        <f>IF(UPPER(LEFT([1]Sheet1!W546,1))="F","FEMALE","MALE")</f>
        <v>FEMALE</v>
      </c>
      <c r="D546">
        <v>22</v>
      </c>
      <c r="E546" t="s">
        <v>10</v>
      </c>
      <c r="F546" t="s">
        <v>10</v>
      </c>
      <c r="G546" t="s">
        <v>11</v>
      </c>
      <c r="H546" t="s">
        <v>27</v>
      </c>
      <c r="I546" s="1">
        <v>2</v>
      </c>
      <c r="J546" s="1" t="str">
        <f t="shared" si="81"/>
        <v>0-5</v>
      </c>
      <c r="K546" s="1">
        <v>1.1000000000000001</v>
      </c>
      <c r="L546" s="1">
        <v>40</v>
      </c>
      <c r="M546" s="1">
        <f t="shared" si="82"/>
        <v>40</v>
      </c>
      <c r="N546" s="1">
        <f t="shared" si="86"/>
        <v>40</v>
      </c>
      <c r="O546" t="s">
        <v>1053</v>
      </c>
      <c r="P546" s="4">
        <f>[2]Sheet1!K546</f>
        <v>0.76</v>
      </c>
    </row>
    <row r="547" spans="1:16" x14ac:dyDescent="0.35">
      <c r="A547" t="s">
        <v>597</v>
      </c>
      <c r="B547" t="str">
        <f>TRIM([1]Sheet1!AD547)</f>
        <v>Melanie Baird</v>
      </c>
      <c r="C547" t="str">
        <f>IF(UPPER(LEFT([1]Sheet1!W547,1))="F","FEMALE","MALE")</f>
        <v>FEMALE</v>
      </c>
      <c r="D547">
        <v>20</v>
      </c>
      <c r="E547" t="s">
        <v>32</v>
      </c>
      <c r="F547" t="s">
        <v>32</v>
      </c>
      <c r="G547" t="s">
        <v>33</v>
      </c>
      <c r="H547" t="s">
        <v>12</v>
      </c>
      <c r="I547" s="1">
        <v>0</v>
      </c>
      <c r="J547" s="1" t="str">
        <f t="shared" si="81"/>
        <v>0-5</v>
      </c>
      <c r="K547" s="1">
        <v>0</v>
      </c>
      <c r="L547" s="1">
        <v>100</v>
      </c>
      <c r="M547" s="1">
        <f t="shared" si="82"/>
        <v>100</v>
      </c>
      <c r="N547" s="1">
        <f t="shared" si="86"/>
        <v>100</v>
      </c>
      <c r="O547" t="s">
        <v>1053</v>
      </c>
      <c r="P547" s="3">
        <f>[2]Sheet1!K547/100</f>
        <v>0.63</v>
      </c>
    </row>
    <row r="548" spans="1:16" x14ac:dyDescent="0.35">
      <c r="A548" t="s">
        <v>598</v>
      </c>
      <c r="B548" t="str">
        <f>TRIM([1]Sheet1!AD548)</f>
        <v>Erika Mitchell</v>
      </c>
      <c r="C548" t="str">
        <f>IF(UPPER(LEFT([1]Sheet1!W548,1))="F","FEMALE","MALE")</f>
        <v>FEMALE</v>
      </c>
      <c r="D548">
        <v>20</v>
      </c>
      <c r="E548" t="s">
        <v>70</v>
      </c>
      <c r="F548" t="s">
        <v>70</v>
      </c>
      <c r="G548" t="s">
        <v>11</v>
      </c>
      <c r="H548" t="s">
        <v>27</v>
      </c>
      <c r="I548" s="1">
        <v>2</v>
      </c>
      <c r="J548" s="1" t="str">
        <f t="shared" si="81"/>
        <v>0-5</v>
      </c>
      <c r="L548" s="1">
        <v>40</v>
      </c>
      <c r="M548" s="1">
        <f t="shared" si="82"/>
        <v>40</v>
      </c>
      <c r="N548" s="1">
        <f t="shared" si="86"/>
        <v>40</v>
      </c>
      <c r="O548" t="s">
        <v>1054</v>
      </c>
      <c r="P548" s="4">
        <f>[2]Sheet1!K548</f>
        <v>0.91</v>
      </c>
    </row>
    <row r="549" spans="1:16" x14ac:dyDescent="0.35">
      <c r="A549" t="s">
        <v>599</v>
      </c>
      <c r="B549" t="str">
        <f>TRIM([1]Sheet1!AD549)</f>
        <v>Ricky Martinez</v>
      </c>
      <c r="C549" t="str">
        <f>IF(UPPER(LEFT([1]Sheet1!W549,1))="F","FEMALE","MALE")</f>
        <v>MALE</v>
      </c>
      <c r="D549">
        <v>21</v>
      </c>
      <c r="E549" t="s">
        <v>35</v>
      </c>
      <c r="F549" t="s">
        <v>35</v>
      </c>
      <c r="G549" t="s">
        <v>11</v>
      </c>
      <c r="H549" t="s">
        <v>23</v>
      </c>
      <c r="I549" s="1">
        <v>0</v>
      </c>
      <c r="J549" s="1" t="str">
        <f t="shared" si="81"/>
        <v>0-5</v>
      </c>
      <c r="L549" s="1">
        <v>100</v>
      </c>
      <c r="M549" s="1">
        <f t="shared" si="82"/>
        <v>100</v>
      </c>
      <c r="N549" s="1">
        <f t="shared" si="86"/>
        <v>100</v>
      </c>
      <c r="O549" t="s">
        <v>1053</v>
      </c>
      <c r="P549" s="4">
        <f>[2]Sheet1!K549</f>
        <v>0.73</v>
      </c>
    </row>
    <row r="550" spans="1:16" x14ac:dyDescent="0.35">
      <c r="A550" t="s">
        <v>600</v>
      </c>
      <c r="B550" t="str">
        <f>TRIM([1]Sheet1!AD550)</f>
        <v>John Christian</v>
      </c>
      <c r="C550" t="str">
        <f>IF(UPPER(LEFT([1]Sheet1!W550,1))="F","FEMALE","MALE")</f>
        <v>MALE</v>
      </c>
      <c r="D550">
        <v>22</v>
      </c>
      <c r="E550" t="s">
        <v>21</v>
      </c>
      <c r="F550" t="s">
        <v>21</v>
      </c>
      <c r="G550" t="s">
        <v>22</v>
      </c>
      <c r="H550" t="s">
        <v>41</v>
      </c>
      <c r="I550" s="1">
        <v>1</v>
      </c>
      <c r="J550" s="1" t="str">
        <f t="shared" si="81"/>
        <v>0-5</v>
      </c>
      <c r="K550" s="1">
        <v>0</v>
      </c>
      <c r="L550" s="1">
        <v>40</v>
      </c>
      <c r="M550" s="1">
        <f t="shared" si="82"/>
        <v>40</v>
      </c>
      <c r="N550" s="1">
        <f t="shared" si="86"/>
        <v>40</v>
      </c>
      <c r="O550" t="s">
        <v>1053</v>
      </c>
      <c r="P550" s="4">
        <f>[2]Sheet1!K550</f>
        <v>0.63</v>
      </c>
    </row>
    <row r="551" spans="1:16" x14ac:dyDescent="0.35">
      <c r="A551" t="s">
        <v>601</v>
      </c>
      <c r="B551" t="str">
        <f>TRIM([1]Sheet1!AD551)</f>
        <v>Nancy Smith</v>
      </c>
      <c r="C551" t="str">
        <f>IF(UPPER(LEFT([1]Sheet1!W551,1))="F","FEMALE","MALE")</f>
        <v>FEMALE</v>
      </c>
      <c r="D551">
        <v>28</v>
      </c>
      <c r="E551" t="s">
        <v>35</v>
      </c>
      <c r="F551" t="s">
        <v>35</v>
      </c>
      <c r="G551" t="s">
        <v>11</v>
      </c>
      <c r="H551" t="s">
        <v>48</v>
      </c>
      <c r="I551" s="1">
        <v>3</v>
      </c>
      <c r="J551" s="1" t="str">
        <f t="shared" si="81"/>
        <v>0-5</v>
      </c>
      <c r="L551" s="1" t="s">
        <v>1067</v>
      </c>
      <c r="M551" s="1" t="str">
        <f t="shared" si="82"/>
        <v>USD 20</v>
      </c>
      <c r="N551" s="1">
        <v>20</v>
      </c>
      <c r="O551" t="s">
        <v>1054</v>
      </c>
      <c r="P551" s="4">
        <f>[2]Sheet1!K551</f>
        <v>0.79</v>
      </c>
    </row>
    <row r="552" spans="1:16" x14ac:dyDescent="0.35">
      <c r="A552" t="s">
        <v>602</v>
      </c>
      <c r="B552" t="str">
        <f>TRIM([1]Sheet1!AD552)</f>
        <v>Cassandra Stephens</v>
      </c>
      <c r="C552" t="str">
        <f>IF(UPPER(LEFT([1]Sheet1!W552,1))="F","FEMALE","MALE")</f>
        <v>FEMALE</v>
      </c>
      <c r="D552">
        <v>59</v>
      </c>
      <c r="E552" t="s">
        <v>37</v>
      </c>
      <c r="F552" t="s">
        <v>37</v>
      </c>
      <c r="G552" t="s">
        <v>38</v>
      </c>
      <c r="H552" t="s">
        <v>23</v>
      </c>
      <c r="J552" s="1" t="str">
        <f t="shared" si="81"/>
        <v>0-5</v>
      </c>
      <c r="K552" s="1">
        <v>4.0999999999999996</v>
      </c>
      <c r="L552" s="1">
        <v>20</v>
      </c>
      <c r="M552" s="1">
        <f t="shared" si="82"/>
        <v>20</v>
      </c>
      <c r="N552" s="1">
        <f t="shared" ref="N552:N557" si="87">M552</f>
        <v>20</v>
      </c>
      <c r="O552" t="s">
        <v>1053</v>
      </c>
      <c r="P552" s="3">
        <f>[2]Sheet1!K552/100</f>
        <v>0.75</v>
      </c>
    </row>
    <row r="553" spans="1:16" x14ac:dyDescent="0.35">
      <c r="A553" t="s">
        <v>603</v>
      </c>
      <c r="B553" t="str">
        <f>TRIM([1]Sheet1!AD553)</f>
        <v>Miss Janet Donovan MD</v>
      </c>
      <c r="C553" t="str">
        <f>IF(UPPER(LEFT([1]Sheet1!W553,1))="F","FEMALE","MALE")</f>
        <v>FEMALE</v>
      </c>
      <c r="D553">
        <v>28</v>
      </c>
      <c r="E553" t="s">
        <v>74</v>
      </c>
      <c r="F553" t="s">
        <v>74</v>
      </c>
      <c r="G553" t="s">
        <v>75</v>
      </c>
      <c r="H553" t="s">
        <v>18</v>
      </c>
      <c r="I553" s="1">
        <v>1</v>
      </c>
      <c r="J553" s="1" t="str">
        <f t="shared" si="81"/>
        <v>0-5</v>
      </c>
      <c r="K553" s="1">
        <v>0</v>
      </c>
      <c r="M553" s="1">
        <f t="shared" si="82"/>
        <v>0</v>
      </c>
      <c r="N553" s="1">
        <f t="shared" si="87"/>
        <v>0</v>
      </c>
      <c r="O553" t="s">
        <v>1053</v>
      </c>
      <c r="P553" s="4">
        <f>[2]Sheet1!K553</f>
        <v>0.7</v>
      </c>
    </row>
    <row r="554" spans="1:16" x14ac:dyDescent="0.35">
      <c r="A554" t="s">
        <v>604</v>
      </c>
      <c r="B554" t="str">
        <f>TRIM([1]Sheet1!AD554)</f>
        <v>Kristina Williams</v>
      </c>
      <c r="C554" t="str">
        <f>IF(UPPER(LEFT([1]Sheet1!W554,1))="F","FEMALE","MALE")</f>
        <v>FEMALE</v>
      </c>
      <c r="D554">
        <v>40</v>
      </c>
      <c r="E554" t="s">
        <v>10</v>
      </c>
      <c r="F554" t="s">
        <v>10</v>
      </c>
      <c r="G554" t="s">
        <v>11</v>
      </c>
      <c r="H554" t="s">
        <v>48</v>
      </c>
      <c r="I554" s="1">
        <v>0</v>
      </c>
      <c r="J554" s="1" t="str">
        <f t="shared" si="81"/>
        <v>0-5</v>
      </c>
      <c r="K554" s="1">
        <v>1.2</v>
      </c>
      <c r="L554" s="2">
        <v>100</v>
      </c>
      <c r="M554" s="1">
        <f t="shared" si="82"/>
        <v>100</v>
      </c>
      <c r="N554" s="1">
        <f t="shared" si="87"/>
        <v>100</v>
      </c>
      <c r="P554" s="4">
        <f>[2]Sheet1!K554</f>
        <v>0.87</v>
      </c>
    </row>
    <row r="555" spans="1:16" x14ac:dyDescent="0.35">
      <c r="A555" t="s">
        <v>605</v>
      </c>
      <c r="B555" t="str">
        <f>TRIM([1]Sheet1!AD555)</f>
        <v>Wayne Barnes</v>
      </c>
      <c r="C555" t="str">
        <f>IF(UPPER(LEFT([1]Sheet1!W555,1))="F","FEMALE","MALE")</f>
        <v>MALE</v>
      </c>
      <c r="D555">
        <v>57</v>
      </c>
      <c r="E555" t="s">
        <v>6</v>
      </c>
      <c r="F555" t="s">
        <v>6</v>
      </c>
      <c r="G555" t="s">
        <v>7</v>
      </c>
      <c r="H555" t="s">
        <v>8</v>
      </c>
      <c r="I555" s="1">
        <v>7</v>
      </c>
      <c r="J555" s="1" t="str">
        <f t="shared" si="81"/>
        <v>5-10</v>
      </c>
      <c r="K555" s="1">
        <v>1.6</v>
      </c>
      <c r="L555" s="1">
        <v>30</v>
      </c>
      <c r="M555" s="1">
        <f t="shared" si="82"/>
        <v>30</v>
      </c>
      <c r="N555" s="1">
        <f t="shared" si="87"/>
        <v>30</v>
      </c>
      <c r="O555" t="s">
        <v>1053</v>
      </c>
    </row>
    <row r="556" spans="1:16" x14ac:dyDescent="0.35">
      <c r="A556" t="s">
        <v>606</v>
      </c>
      <c r="B556" t="str">
        <f>TRIM([1]Sheet1!AD556)</f>
        <v>James Hinton</v>
      </c>
      <c r="C556" t="str">
        <f>IF(UPPER(LEFT([1]Sheet1!W556,1))="F","FEMALE","MALE")</f>
        <v>MALE</v>
      </c>
      <c r="D556">
        <v>47</v>
      </c>
      <c r="E556" t="s">
        <v>32</v>
      </c>
      <c r="F556" t="s">
        <v>32</v>
      </c>
      <c r="G556" t="s">
        <v>33</v>
      </c>
      <c r="H556" t="s">
        <v>48</v>
      </c>
      <c r="I556" s="1">
        <v>1</v>
      </c>
      <c r="J556" s="1" t="str">
        <f t="shared" si="81"/>
        <v>0-5</v>
      </c>
      <c r="K556" s="1">
        <v>3.9</v>
      </c>
      <c r="L556" s="1">
        <v>50</v>
      </c>
      <c r="M556" s="1">
        <f t="shared" si="82"/>
        <v>50</v>
      </c>
      <c r="N556" s="1">
        <f t="shared" si="87"/>
        <v>50</v>
      </c>
      <c r="O556" t="s">
        <v>1054</v>
      </c>
      <c r="P556" s="4">
        <f>[2]Sheet1!K556</f>
        <v>0.88</v>
      </c>
    </row>
    <row r="557" spans="1:16" x14ac:dyDescent="0.35">
      <c r="A557" t="s">
        <v>607</v>
      </c>
      <c r="B557" t="str">
        <f>TRIM([1]Sheet1!AD557)</f>
        <v>David Spence</v>
      </c>
      <c r="C557" t="str">
        <f>IF(UPPER(LEFT([1]Sheet1!W557,1))="F","FEMALE","MALE")</f>
        <v>MALE</v>
      </c>
      <c r="D557">
        <v>48</v>
      </c>
      <c r="E557" t="s">
        <v>60</v>
      </c>
      <c r="F557" t="s">
        <v>60</v>
      </c>
      <c r="G557" t="s">
        <v>61</v>
      </c>
      <c r="H557" t="s">
        <v>41</v>
      </c>
      <c r="I557" s="1">
        <v>21</v>
      </c>
      <c r="J557" s="1" t="str">
        <f t="shared" si="81"/>
        <v>21- 25</v>
      </c>
      <c r="K557" s="1">
        <v>0</v>
      </c>
      <c r="L557" s="1">
        <v>40</v>
      </c>
      <c r="M557" s="1">
        <f t="shared" si="82"/>
        <v>40</v>
      </c>
      <c r="N557" s="1">
        <f t="shared" si="87"/>
        <v>40</v>
      </c>
      <c r="O557" t="s">
        <v>1054</v>
      </c>
    </row>
    <row r="558" spans="1:16" x14ac:dyDescent="0.35">
      <c r="A558" t="s">
        <v>608</v>
      </c>
      <c r="B558" t="str">
        <f>TRIM([1]Sheet1!AD558)</f>
        <v>Tyler Cooper</v>
      </c>
      <c r="C558" t="str">
        <f>IF(UPPER(LEFT([1]Sheet1!W558,1))="F","FEMALE","MALE")</f>
        <v>MALE</v>
      </c>
      <c r="D558">
        <v>28</v>
      </c>
      <c r="E558" t="s">
        <v>30</v>
      </c>
      <c r="F558" t="s">
        <v>30</v>
      </c>
      <c r="G558" t="s">
        <v>11</v>
      </c>
      <c r="H558" t="s">
        <v>39</v>
      </c>
      <c r="I558" s="1">
        <v>1</v>
      </c>
      <c r="J558" s="1" t="str">
        <f t="shared" si="81"/>
        <v>0-5</v>
      </c>
      <c r="K558" s="1">
        <v>4.7</v>
      </c>
      <c r="L558" s="1" t="s">
        <v>1067</v>
      </c>
      <c r="M558" s="1" t="str">
        <f t="shared" si="82"/>
        <v>USD 20</v>
      </c>
      <c r="N558" s="1">
        <v>20</v>
      </c>
      <c r="O558" t="s">
        <v>1053</v>
      </c>
      <c r="P558" s="4">
        <f>[2]Sheet1!K558</f>
        <v>0.93</v>
      </c>
    </row>
    <row r="559" spans="1:16" x14ac:dyDescent="0.35">
      <c r="A559" t="s">
        <v>609</v>
      </c>
      <c r="B559" t="str">
        <f>TRIM([1]Sheet1!AD559)</f>
        <v>Sean Martinez</v>
      </c>
      <c r="C559" t="str">
        <f>IF(UPPER(LEFT([1]Sheet1!W559,1))="F","FEMALE","MALE")</f>
        <v>MALE</v>
      </c>
      <c r="D559">
        <v>41</v>
      </c>
      <c r="E559" t="s">
        <v>32</v>
      </c>
      <c r="F559" t="s">
        <v>32</v>
      </c>
      <c r="G559" t="s">
        <v>33</v>
      </c>
      <c r="H559" t="s">
        <v>16</v>
      </c>
      <c r="I559" s="1">
        <v>15</v>
      </c>
      <c r="J559" s="1" t="str">
        <f t="shared" si="81"/>
        <v>11-16</v>
      </c>
      <c r="K559" s="1">
        <v>3.8</v>
      </c>
      <c r="M559" s="1">
        <f t="shared" si="82"/>
        <v>0</v>
      </c>
      <c r="N559" s="1">
        <f t="shared" ref="N559:N560" si="88">M559</f>
        <v>0</v>
      </c>
      <c r="O559" t="s">
        <v>1054</v>
      </c>
    </row>
    <row r="560" spans="1:16" x14ac:dyDescent="0.35">
      <c r="A560" t="s">
        <v>610</v>
      </c>
      <c r="B560" t="str">
        <f>TRIM([1]Sheet1!AD560)</f>
        <v>Janet Barron</v>
      </c>
      <c r="C560" t="str">
        <f>IF(UPPER(LEFT([1]Sheet1!W560,1))="F","FEMALE","MALE")</f>
        <v>FEMALE</v>
      </c>
      <c r="D560">
        <v>57</v>
      </c>
      <c r="E560" t="s">
        <v>85</v>
      </c>
      <c r="F560" t="s">
        <v>85</v>
      </c>
      <c r="G560" t="s">
        <v>86</v>
      </c>
      <c r="H560" t="s">
        <v>41</v>
      </c>
      <c r="I560" s="1">
        <v>33</v>
      </c>
      <c r="J560" s="1" t="str">
        <f t="shared" si="81"/>
        <v>31+</v>
      </c>
      <c r="K560" s="1">
        <v>3.5</v>
      </c>
      <c r="L560" s="1">
        <v>100</v>
      </c>
      <c r="M560" s="1">
        <f t="shared" si="82"/>
        <v>100</v>
      </c>
      <c r="N560" s="1">
        <f t="shared" si="88"/>
        <v>100</v>
      </c>
      <c r="O560" t="s">
        <v>1053</v>
      </c>
      <c r="P560" s="4">
        <f>[2]Sheet1!K560</f>
        <v>0.74</v>
      </c>
    </row>
    <row r="561" spans="1:16" x14ac:dyDescent="0.35">
      <c r="A561" t="s">
        <v>611</v>
      </c>
      <c r="B561" t="str">
        <f>TRIM([1]Sheet1!AD561)</f>
        <v>Rodney Wilson</v>
      </c>
      <c r="C561" t="str">
        <f>IF(UPPER(LEFT([1]Sheet1!W561,1))="F","FEMALE","MALE")</f>
        <v>MALE</v>
      </c>
      <c r="D561">
        <v>60</v>
      </c>
      <c r="E561" t="s">
        <v>37</v>
      </c>
      <c r="F561" t="s">
        <v>37</v>
      </c>
      <c r="G561" t="s">
        <v>38</v>
      </c>
      <c r="H561" t="s">
        <v>16</v>
      </c>
      <c r="I561" s="1">
        <v>39</v>
      </c>
      <c r="J561" s="1" t="str">
        <f t="shared" si="81"/>
        <v>31+</v>
      </c>
      <c r="K561" s="1">
        <v>4</v>
      </c>
      <c r="L561" s="1" t="s">
        <v>1063</v>
      </c>
      <c r="M561" s="1" t="str">
        <f t="shared" si="82"/>
        <v>USD 75</v>
      </c>
      <c r="N561" s="1">
        <v>75</v>
      </c>
      <c r="P561" s="4">
        <f>[2]Sheet1!K561</f>
        <v>0.7</v>
      </c>
    </row>
    <row r="562" spans="1:16" x14ac:dyDescent="0.35">
      <c r="A562" t="s">
        <v>612</v>
      </c>
      <c r="B562" t="str">
        <f>TRIM([1]Sheet1!AD562)</f>
        <v>Kimberly Fitzgerald</v>
      </c>
      <c r="C562" t="str">
        <f>IF(UPPER(LEFT([1]Sheet1!W562,1))="F","FEMALE","MALE")</f>
        <v>FEMALE</v>
      </c>
      <c r="D562">
        <v>48</v>
      </c>
      <c r="E562" t="s">
        <v>77</v>
      </c>
      <c r="F562" t="s">
        <v>77</v>
      </c>
      <c r="G562" t="s">
        <v>78</v>
      </c>
      <c r="H562" t="s">
        <v>16</v>
      </c>
      <c r="I562" s="1">
        <v>21</v>
      </c>
      <c r="J562" s="1" t="str">
        <f t="shared" si="81"/>
        <v>21- 25</v>
      </c>
      <c r="K562" s="1">
        <v>1.6</v>
      </c>
      <c r="L562" s="1">
        <v>30</v>
      </c>
      <c r="M562" s="1">
        <f t="shared" si="82"/>
        <v>30</v>
      </c>
      <c r="N562" s="1">
        <f t="shared" ref="N562:N577" si="89">M562</f>
        <v>30</v>
      </c>
      <c r="O562" t="s">
        <v>1054</v>
      </c>
      <c r="P562" s="4">
        <f>[2]Sheet1!K562</f>
        <v>0.67</v>
      </c>
    </row>
    <row r="563" spans="1:16" x14ac:dyDescent="0.35">
      <c r="A563" t="s">
        <v>613</v>
      </c>
      <c r="B563" t="str">
        <f>TRIM([1]Sheet1!AD563)</f>
        <v>Nicole Davis</v>
      </c>
      <c r="C563" t="str">
        <f>IF(UPPER(LEFT([1]Sheet1!W563,1))="F","FEMALE","MALE")</f>
        <v>FEMALE</v>
      </c>
      <c r="D563">
        <v>24</v>
      </c>
      <c r="E563" t="s">
        <v>74</v>
      </c>
      <c r="F563" t="s">
        <v>74</v>
      </c>
      <c r="G563" t="s">
        <v>75</v>
      </c>
      <c r="H563" t="s">
        <v>41</v>
      </c>
      <c r="I563" s="1">
        <v>5</v>
      </c>
      <c r="J563" s="1" t="str">
        <f t="shared" si="81"/>
        <v>0-5</v>
      </c>
      <c r="K563" s="1">
        <v>3</v>
      </c>
      <c r="L563" s="1">
        <v>40</v>
      </c>
      <c r="M563" s="1">
        <f t="shared" si="82"/>
        <v>40</v>
      </c>
      <c r="N563" s="1">
        <f t="shared" si="89"/>
        <v>40</v>
      </c>
      <c r="O563" t="s">
        <v>1053</v>
      </c>
      <c r="P563" s="4">
        <f>[2]Sheet1!K563</f>
        <v>0.86</v>
      </c>
    </row>
    <row r="564" spans="1:16" x14ac:dyDescent="0.35">
      <c r="A564" t="s">
        <v>614</v>
      </c>
      <c r="B564" t="str">
        <f>TRIM([1]Sheet1!AD564)</f>
        <v>Elizabeth Hayes</v>
      </c>
      <c r="C564" t="str">
        <f>IF(UPPER(LEFT([1]Sheet1!W564,1))="F","FEMALE","MALE")</f>
        <v>FEMALE</v>
      </c>
      <c r="D564">
        <v>33</v>
      </c>
      <c r="E564" t="s">
        <v>99</v>
      </c>
      <c r="F564" t="s">
        <v>99</v>
      </c>
      <c r="G564" t="s">
        <v>38</v>
      </c>
      <c r="H564" t="s">
        <v>48</v>
      </c>
      <c r="I564" s="1">
        <v>11</v>
      </c>
      <c r="J564" s="1" t="str">
        <f t="shared" si="81"/>
        <v>11-16</v>
      </c>
      <c r="K564" s="1">
        <v>5</v>
      </c>
      <c r="L564" s="1">
        <v>50</v>
      </c>
      <c r="M564" s="1">
        <f t="shared" si="82"/>
        <v>50</v>
      </c>
      <c r="N564" s="1">
        <f t="shared" si="89"/>
        <v>50</v>
      </c>
      <c r="O564" t="s">
        <v>1054</v>
      </c>
      <c r="P564" s="4">
        <f>[2]Sheet1!K564</f>
        <v>0.69</v>
      </c>
    </row>
    <row r="565" spans="1:16" x14ac:dyDescent="0.35">
      <c r="A565" t="s">
        <v>615</v>
      </c>
      <c r="B565" t="str">
        <f>TRIM([1]Sheet1!AD565)</f>
        <v>Kathy Faulkner</v>
      </c>
      <c r="C565" t="str">
        <f>IF(UPPER(LEFT([1]Sheet1!W565,1))="F","FEMALE","MALE")</f>
        <v>FEMALE</v>
      </c>
      <c r="D565">
        <v>20</v>
      </c>
      <c r="E565" t="s">
        <v>32</v>
      </c>
      <c r="F565" t="s">
        <v>32</v>
      </c>
      <c r="G565" t="s">
        <v>33</v>
      </c>
      <c r="H565" t="s">
        <v>16</v>
      </c>
      <c r="I565" s="1">
        <v>0</v>
      </c>
      <c r="J565" s="1" t="str">
        <f t="shared" si="81"/>
        <v>0-5</v>
      </c>
      <c r="K565" s="1">
        <v>4.8</v>
      </c>
      <c r="L565" s="1">
        <v>30</v>
      </c>
      <c r="M565" s="1">
        <f t="shared" si="82"/>
        <v>30</v>
      </c>
      <c r="N565" s="1">
        <f t="shared" si="89"/>
        <v>30</v>
      </c>
      <c r="O565" t="s">
        <v>1054</v>
      </c>
      <c r="P565" s="4">
        <f>[2]Sheet1!K565</f>
        <v>0.68</v>
      </c>
    </row>
    <row r="566" spans="1:16" x14ac:dyDescent="0.35">
      <c r="A566" t="s">
        <v>616</v>
      </c>
      <c r="B566" t="str">
        <f>TRIM([1]Sheet1!AD566)</f>
        <v>John Gonzales</v>
      </c>
      <c r="C566" t="str">
        <f>IF(UPPER(LEFT([1]Sheet1!W566,1))="F","FEMALE","MALE")</f>
        <v>MALE</v>
      </c>
      <c r="D566">
        <v>59</v>
      </c>
      <c r="E566" t="s">
        <v>35</v>
      </c>
      <c r="F566" t="s">
        <v>35</v>
      </c>
      <c r="G566" t="s">
        <v>11</v>
      </c>
      <c r="H566" t="s">
        <v>48</v>
      </c>
      <c r="I566" s="1">
        <v>15</v>
      </c>
      <c r="J566" s="1" t="str">
        <f t="shared" si="81"/>
        <v>11-16</v>
      </c>
      <c r="L566" s="2">
        <v>50</v>
      </c>
      <c r="M566" s="1">
        <f t="shared" si="82"/>
        <v>50</v>
      </c>
      <c r="N566" s="1">
        <f t="shared" si="89"/>
        <v>50</v>
      </c>
      <c r="O566" t="s">
        <v>1053</v>
      </c>
    </row>
    <row r="567" spans="1:16" x14ac:dyDescent="0.35">
      <c r="A567" t="s">
        <v>617</v>
      </c>
      <c r="B567" t="str">
        <f>TRIM([1]Sheet1!AD567)</f>
        <v>Shannon Luna</v>
      </c>
      <c r="C567" t="str">
        <f>IF(UPPER(LEFT([1]Sheet1!W567,1))="F","FEMALE","MALE")</f>
        <v>FEMALE</v>
      </c>
      <c r="D567">
        <v>42</v>
      </c>
      <c r="E567" t="s">
        <v>96</v>
      </c>
      <c r="F567" t="s">
        <v>96</v>
      </c>
      <c r="G567" t="s">
        <v>97</v>
      </c>
      <c r="H567" t="s">
        <v>48</v>
      </c>
      <c r="I567" s="1">
        <v>22</v>
      </c>
      <c r="J567" s="1" t="str">
        <f t="shared" si="81"/>
        <v>21- 25</v>
      </c>
      <c r="K567" s="1">
        <v>2.9</v>
      </c>
      <c r="M567" s="1">
        <f t="shared" si="82"/>
        <v>0</v>
      </c>
      <c r="N567" s="1">
        <f t="shared" si="89"/>
        <v>0</v>
      </c>
      <c r="O567" t="s">
        <v>1053</v>
      </c>
      <c r="P567" s="4">
        <f>[2]Sheet1!K567</f>
        <v>0.61</v>
      </c>
    </row>
    <row r="568" spans="1:16" x14ac:dyDescent="0.35">
      <c r="A568" t="s">
        <v>618</v>
      </c>
      <c r="B568" t="str">
        <f>TRIM([1]Sheet1!AD568)</f>
        <v>Stephanie Burton</v>
      </c>
      <c r="C568" t="str">
        <f>IF(UPPER(LEFT([1]Sheet1!W568,1))="F","FEMALE","MALE")</f>
        <v>FEMALE</v>
      </c>
      <c r="D568">
        <v>22</v>
      </c>
      <c r="E568" t="s">
        <v>32</v>
      </c>
      <c r="F568" t="s">
        <v>32</v>
      </c>
      <c r="G568" t="s">
        <v>33</v>
      </c>
      <c r="H568" t="s">
        <v>39</v>
      </c>
      <c r="I568" s="1">
        <v>3</v>
      </c>
      <c r="J568" s="1" t="str">
        <f t="shared" si="81"/>
        <v>0-5</v>
      </c>
      <c r="K568" s="1">
        <v>3</v>
      </c>
      <c r="M568" s="1">
        <f t="shared" si="82"/>
        <v>0</v>
      </c>
      <c r="N568" s="1">
        <f t="shared" si="89"/>
        <v>0</v>
      </c>
      <c r="O568" t="s">
        <v>1054</v>
      </c>
      <c r="P568" s="4">
        <f>[2]Sheet1!K568</f>
        <v>0.96</v>
      </c>
    </row>
    <row r="569" spans="1:16" x14ac:dyDescent="0.35">
      <c r="A569" t="s">
        <v>619</v>
      </c>
      <c r="B569" t="str">
        <f>TRIM([1]Sheet1!AD569)</f>
        <v>Kevin Gonzales</v>
      </c>
      <c r="C569" t="str">
        <f>IF(UPPER(LEFT([1]Sheet1!W569,1))="F","FEMALE","MALE")</f>
        <v>MALE</v>
      </c>
      <c r="D569">
        <v>41</v>
      </c>
      <c r="E569" t="s">
        <v>70</v>
      </c>
      <c r="F569" t="s">
        <v>70</v>
      </c>
      <c r="G569" t="s">
        <v>11</v>
      </c>
      <c r="H569" t="s">
        <v>41</v>
      </c>
      <c r="I569" s="1">
        <v>11</v>
      </c>
      <c r="J569" s="1" t="str">
        <f t="shared" si="81"/>
        <v>11-16</v>
      </c>
      <c r="K569" s="1">
        <v>3.5</v>
      </c>
      <c r="L569" s="1">
        <v>50</v>
      </c>
      <c r="M569" s="1">
        <f t="shared" si="82"/>
        <v>50</v>
      </c>
      <c r="N569" s="1">
        <f t="shared" si="89"/>
        <v>50</v>
      </c>
      <c r="O569" t="s">
        <v>1054</v>
      </c>
      <c r="P569" s="4">
        <f>[2]Sheet1!K569</f>
        <v>0.68</v>
      </c>
    </row>
    <row r="570" spans="1:16" x14ac:dyDescent="0.35">
      <c r="A570" t="s">
        <v>620</v>
      </c>
      <c r="B570" t="str">
        <f>TRIM([1]Sheet1!AD570)</f>
        <v>Dawn Hardy</v>
      </c>
      <c r="C570" t="str">
        <f>IF(UPPER(LEFT([1]Sheet1!W570,1))="F","FEMALE","MALE")</f>
        <v>FEMALE</v>
      </c>
      <c r="D570">
        <v>25</v>
      </c>
      <c r="E570" t="s">
        <v>37</v>
      </c>
      <c r="F570" t="s">
        <v>37</v>
      </c>
      <c r="G570" t="s">
        <v>38</v>
      </c>
      <c r="H570" t="s">
        <v>18</v>
      </c>
      <c r="I570" s="1">
        <v>5</v>
      </c>
      <c r="J570" s="1" t="str">
        <f t="shared" si="81"/>
        <v>0-5</v>
      </c>
      <c r="L570" s="1">
        <v>40</v>
      </c>
      <c r="M570" s="1">
        <f t="shared" si="82"/>
        <v>40</v>
      </c>
      <c r="N570" s="1">
        <f t="shared" si="89"/>
        <v>40</v>
      </c>
      <c r="O570" t="s">
        <v>1054</v>
      </c>
      <c r="P570" s="4">
        <f>[2]Sheet1!K570</f>
        <v>0.75</v>
      </c>
    </row>
    <row r="571" spans="1:16" x14ac:dyDescent="0.35">
      <c r="A571" t="s">
        <v>621</v>
      </c>
      <c r="B571" t="str">
        <f>TRIM([1]Sheet1!AD571)</f>
        <v>Margaret Perkins</v>
      </c>
      <c r="C571" t="str">
        <f>IF(UPPER(LEFT([1]Sheet1!W571,1))="F","FEMALE","MALE")</f>
        <v>FEMALE</v>
      </c>
      <c r="D571">
        <v>38</v>
      </c>
      <c r="E571" t="s">
        <v>70</v>
      </c>
      <c r="F571" t="s">
        <v>70</v>
      </c>
      <c r="G571" t="s">
        <v>11</v>
      </c>
      <c r="H571" t="s">
        <v>39</v>
      </c>
      <c r="I571" s="1">
        <v>3</v>
      </c>
      <c r="J571" s="1" t="str">
        <f t="shared" si="81"/>
        <v>0-5</v>
      </c>
      <c r="K571" s="1">
        <v>4.7</v>
      </c>
      <c r="L571" s="1">
        <v>40</v>
      </c>
      <c r="M571" s="1">
        <f t="shared" si="82"/>
        <v>40</v>
      </c>
      <c r="N571" s="1">
        <f t="shared" si="89"/>
        <v>40</v>
      </c>
      <c r="O571" t="s">
        <v>1053</v>
      </c>
      <c r="P571" s="4">
        <f>[2]Sheet1!K571</f>
        <v>0.69</v>
      </c>
    </row>
    <row r="572" spans="1:16" x14ac:dyDescent="0.35">
      <c r="A572" t="s">
        <v>622</v>
      </c>
      <c r="B572" t="str">
        <f>TRIM([1]Sheet1!AD572)</f>
        <v>Amanda Vargas</v>
      </c>
      <c r="C572" t="str">
        <f>IF(UPPER(LEFT([1]Sheet1!W572,1))="F","FEMALE","MALE")</f>
        <v>FEMALE</v>
      </c>
      <c r="D572">
        <v>43</v>
      </c>
      <c r="E572" t="s">
        <v>30</v>
      </c>
      <c r="F572" t="s">
        <v>30</v>
      </c>
      <c r="G572" t="s">
        <v>11</v>
      </c>
      <c r="H572" t="s">
        <v>48</v>
      </c>
      <c r="I572" s="1">
        <v>1</v>
      </c>
      <c r="J572" s="1" t="str">
        <f t="shared" si="81"/>
        <v>0-5</v>
      </c>
      <c r="K572" s="1">
        <v>2.9</v>
      </c>
      <c r="M572" s="1">
        <f t="shared" si="82"/>
        <v>0</v>
      </c>
      <c r="N572" s="1">
        <f t="shared" si="89"/>
        <v>0</v>
      </c>
      <c r="O572" t="s">
        <v>1053</v>
      </c>
      <c r="P572" s="4">
        <f>[2]Sheet1!K572</f>
        <v>0.78</v>
      </c>
    </row>
    <row r="573" spans="1:16" x14ac:dyDescent="0.35">
      <c r="A573" t="s">
        <v>623</v>
      </c>
      <c r="B573" t="str">
        <f>TRIM([1]Sheet1!AD573)</f>
        <v>Tonya Gonzalez</v>
      </c>
      <c r="C573" t="str">
        <f>IF(UPPER(LEFT([1]Sheet1!W573,1))="F","FEMALE","MALE")</f>
        <v>FEMALE</v>
      </c>
      <c r="D573">
        <v>54</v>
      </c>
      <c r="E573" t="s">
        <v>99</v>
      </c>
      <c r="F573" t="s">
        <v>99</v>
      </c>
      <c r="G573" t="s">
        <v>38</v>
      </c>
      <c r="H573" t="s">
        <v>23</v>
      </c>
      <c r="I573" s="1">
        <v>1</v>
      </c>
      <c r="J573" s="1" t="str">
        <f t="shared" si="81"/>
        <v>0-5</v>
      </c>
      <c r="K573" s="1">
        <v>4.4000000000000004</v>
      </c>
      <c r="L573" s="1">
        <v>75</v>
      </c>
      <c r="M573" s="1">
        <f t="shared" si="82"/>
        <v>75</v>
      </c>
      <c r="N573" s="1">
        <f t="shared" si="89"/>
        <v>75</v>
      </c>
      <c r="O573" t="s">
        <v>1054</v>
      </c>
    </row>
    <row r="574" spans="1:16" x14ac:dyDescent="0.35">
      <c r="A574" t="s">
        <v>624</v>
      </c>
      <c r="B574" t="str">
        <f>TRIM([1]Sheet1!AD574)</f>
        <v>Elizabeth Bowman</v>
      </c>
      <c r="C574" t="str">
        <f>IF(UPPER(LEFT([1]Sheet1!W574,1))="F","FEMALE","MALE")</f>
        <v>FEMALE</v>
      </c>
      <c r="D574">
        <v>31</v>
      </c>
      <c r="E574" t="s">
        <v>25</v>
      </c>
      <c r="F574" t="s">
        <v>25</v>
      </c>
      <c r="G574" t="s">
        <v>26</v>
      </c>
      <c r="H574" t="s">
        <v>12</v>
      </c>
      <c r="I574" s="1">
        <v>2</v>
      </c>
      <c r="J574" s="1" t="str">
        <f t="shared" si="81"/>
        <v>0-5</v>
      </c>
      <c r="K574" s="1">
        <v>2.2999999999999998</v>
      </c>
      <c r="L574" s="1">
        <v>40</v>
      </c>
      <c r="M574" s="1">
        <f t="shared" si="82"/>
        <v>40</v>
      </c>
      <c r="N574" s="1">
        <f t="shared" si="89"/>
        <v>40</v>
      </c>
      <c r="O574" t="s">
        <v>1053</v>
      </c>
      <c r="P574" s="4">
        <f>[2]Sheet1!K574</f>
        <v>0.98</v>
      </c>
    </row>
    <row r="575" spans="1:16" x14ac:dyDescent="0.35">
      <c r="A575" t="s">
        <v>625</v>
      </c>
      <c r="B575" t="str">
        <f>TRIM([1]Sheet1!AD575)</f>
        <v>Ariana Pittman</v>
      </c>
      <c r="C575" t="str">
        <f>IF(UPPER(LEFT([1]Sheet1!W575,1))="F","FEMALE","MALE")</f>
        <v>FEMALE</v>
      </c>
      <c r="D575">
        <v>56</v>
      </c>
      <c r="E575" t="s">
        <v>99</v>
      </c>
      <c r="F575" t="s">
        <v>99</v>
      </c>
      <c r="G575" t="s">
        <v>38</v>
      </c>
      <c r="H575" t="s">
        <v>23</v>
      </c>
      <c r="I575" s="1">
        <v>3</v>
      </c>
      <c r="J575" s="1" t="str">
        <f t="shared" si="81"/>
        <v>0-5</v>
      </c>
      <c r="K575" s="1">
        <v>3.7</v>
      </c>
      <c r="L575" s="2">
        <v>30</v>
      </c>
      <c r="M575" s="1">
        <f t="shared" si="82"/>
        <v>30</v>
      </c>
      <c r="N575" s="1">
        <f t="shared" si="89"/>
        <v>30</v>
      </c>
      <c r="P575" s="4">
        <f>[2]Sheet1!K575</f>
        <v>0.83</v>
      </c>
    </row>
    <row r="576" spans="1:16" x14ac:dyDescent="0.35">
      <c r="A576" t="s">
        <v>626</v>
      </c>
      <c r="B576" t="str">
        <f>TRIM([1]Sheet1!AD576)</f>
        <v>Antonio Johnson</v>
      </c>
      <c r="C576" t="str">
        <f>IF(UPPER(LEFT([1]Sheet1!W576,1))="F","FEMALE","MALE")</f>
        <v>MALE</v>
      </c>
      <c r="D576">
        <v>46</v>
      </c>
      <c r="E576" t="s">
        <v>99</v>
      </c>
      <c r="F576" t="s">
        <v>99</v>
      </c>
      <c r="G576" t="s">
        <v>38</v>
      </c>
      <c r="H576" t="s">
        <v>16</v>
      </c>
      <c r="I576" s="1">
        <v>11</v>
      </c>
      <c r="J576" s="1" t="str">
        <f t="shared" si="81"/>
        <v>11-16</v>
      </c>
      <c r="K576" s="1">
        <v>1.8</v>
      </c>
      <c r="M576" s="1">
        <f t="shared" si="82"/>
        <v>0</v>
      </c>
      <c r="N576" s="1">
        <f t="shared" si="89"/>
        <v>0</v>
      </c>
      <c r="O576" t="s">
        <v>1054</v>
      </c>
      <c r="P576" s="4">
        <f>[2]Sheet1!K576</f>
        <v>0.91</v>
      </c>
    </row>
    <row r="577" spans="1:16" x14ac:dyDescent="0.35">
      <c r="A577" t="s">
        <v>627</v>
      </c>
      <c r="B577" t="str">
        <f>TRIM([1]Sheet1!AD577)</f>
        <v>Justin Lang</v>
      </c>
      <c r="C577" t="str">
        <f>IF(UPPER(LEFT([1]Sheet1!W577,1))="F","FEMALE","MALE")</f>
        <v>MALE</v>
      </c>
      <c r="D577">
        <v>60</v>
      </c>
      <c r="E577" t="s">
        <v>77</v>
      </c>
      <c r="F577" t="s">
        <v>77</v>
      </c>
      <c r="G577" t="s">
        <v>78</v>
      </c>
      <c r="H577" t="s">
        <v>23</v>
      </c>
      <c r="J577" s="1" t="str">
        <f t="shared" si="81"/>
        <v>0-5</v>
      </c>
      <c r="K577" s="1">
        <v>0</v>
      </c>
      <c r="L577" s="1">
        <v>100</v>
      </c>
      <c r="M577" s="1">
        <f t="shared" si="82"/>
        <v>100</v>
      </c>
      <c r="N577" s="1">
        <f t="shared" si="89"/>
        <v>100</v>
      </c>
      <c r="O577" t="s">
        <v>1054</v>
      </c>
      <c r="P577" s="4">
        <f>[2]Sheet1!K577</f>
        <v>0.96</v>
      </c>
    </row>
    <row r="578" spans="1:16" x14ac:dyDescent="0.35">
      <c r="A578" t="s">
        <v>628</v>
      </c>
      <c r="B578" t="str">
        <f>TRIM([1]Sheet1!AD578)</f>
        <v>Kelli Ramirez</v>
      </c>
      <c r="C578" t="str">
        <f>IF(UPPER(LEFT([1]Sheet1!W578,1))="F","FEMALE","MALE")</f>
        <v>FEMALE</v>
      </c>
      <c r="D578">
        <v>28</v>
      </c>
      <c r="E578" t="s">
        <v>60</v>
      </c>
      <c r="F578" t="s">
        <v>60</v>
      </c>
      <c r="G578" t="s">
        <v>61</v>
      </c>
      <c r="H578" t="s">
        <v>16</v>
      </c>
      <c r="I578" s="1">
        <v>2</v>
      </c>
      <c r="J578" s="1" t="str">
        <f t="shared" ref="J578:J641" si="90">_xlfn.IFS(I578&lt;=5,"0-5",I578&lt;=10,"5-10",I578&lt;=16,"11-16",I578&lt;=20," 16-20",I578&lt;=25,"21- 25",I578&lt;=30,"26-30",I578&gt;30,"31+")</f>
        <v>0-5</v>
      </c>
      <c r="L578" s="1" t="s">
        <v>1065</v>
      </c>
      <c r="M578" s="1" t="str">
        <f t="shared" si="82"/>
        <v>USD 50</v>
      </c>
      <c r="N578" s="1">
        <v>50</v>
      </c>
      <c r="O578" t="s">
        <v>1054</v>
      </c>
      <c r="P578" s="4">
        <f>[2]Sheet1!K578</f>
        <v>0.85</v>
      </c>
    </row>
    <row r="579" spans="1:16" x14ac:dyDescent="0.35">
      <c r="A579" t="s">
        <v>629</v>
      </c>
      <c r="B579" t="str">
        <f>TRIM([1]Sheet1!AD579)</f>
        <v>Deborah Torres</v>
      </c>
      <c r="C579" t="str">
        <f>IF(UPPER(LEFT([1]Sheet1!W579,1))="F","FEMALE","MALE")</f>
        <v>FEMALE</v>
      </c>
      <c r="D579">
        <v>43</v>
      </c>
      <c r="E579" t="s">
        <v>25</v>
      </c>
      <c r="F579" t="s">
        <v>25</v>
      </c>
      <c r="G579" t="s">
        <v>26</v>
      </c>
      <c r="H579" t="s">
        <v>18</v>
      </c>
      <c r="I579" s="1">
        <v>20</v>
      </c>
      <c r="J579" s="1" t="str">
        <f t="shared" si="90"/>
        <v xml:space="preserve"> 16-20</v>
      </c>
      <c r="K579" s="1">
        <v>2.7</v>
      </c>
      <c r="L579" s="1" t="s">
        <v>1066</v>
      </c>
      <c r="M579" s="1" t="str">
        <f t="shared" ref="M579:M642" si="91">L579</f>
        <v>USD 30</v>
      </c>
      <c r="N579" s="1">
        <v>30</v>
      </c>
      <c r="O579" t="s">
        <v>1053</v>
      </c>
      <c r="P579" s="4">
        <f>[2]Sheet1!K579</f>
        <v>0.72</v>
      </c>
    </row>
    <row r="580" spans="1:16" x14ac:dyDescent="0.35">
      <c r="A580" t="s">
        <v>630</v>
      </c>
      <c r="B580" t="str">
        <f>TRIM([1]Sheet1!AD580)</f>
        <v>Joseph Horn</v>
      </c>
      <c r="C580" t="str">
        <f>IF(UPPER(LEFT([1]Sheet1!W580,1))="F","FEMALE","MALE")</f>
        <v>MALE</v>
      </c>
      <c r="D580">
        <v>41</v>
      </c>
      <c r="E580" t="s">
        <v>74</v>
      </c>
      <c r="F580" t="s">
        <v>74</v>
      </c>
      <c r="G580" t="s">
        <v>75</v>
      </c>
      <c r="H580" t="s">
        <v>18</v>
      </c>
      <c r="I580" s="1">
        <v>11</v>
      </c>
      <c r="J580" s="1" t="str">
        <f t="shared" si="90"/>
        <v>11-16</v>
      </c>
      <c r="K580" s="1">
        <v>4.7</v>
      </c>
      <c r="L580" s="2">
        <v>20</v>
      </c>
      <c r="M580" s="1">
        <f t="shared" si="91"/>
        <v>20</v>
      </c>
      <c r="N580" s="1">
        <f t="shared" ref="N580:N582" si="92">M580</f>
        <v>20</v>
      </c>
      <c r="P580" s="4">
        <f>[2]Sheet1!K580</f>
        <v>0.69</v>
      </c>
    </row>
    <row r="581" spans="1:16" x14ac:dyDescent="0.35">
      <c r="A581" t="s">
        <v>631</v>
      </c>
      <c r="B581" t="str">
        <f>TRIM([1]Sheet1!AD581)</f>
        <v>Christopher Robinson</v>
      </c>
      <c r="C581" t="str">
        <f>IF(UPPER(LEFT([1]Sheet1!W581,1))="F","FEMALE","MALE")</f>
        <v>MALE</v>
      </c>
      <c r="D581">
        <v>41</v>
      </c>
      <c r="E581" t="s">
        <v>35</v>
      </c>
      <c r="F581" t="s">
        <v>35</v>
      </c>
      <c r="G581" t="s">
        <v>11</v>
      </c>
      <c r="H581" t="s">
        <v>48</v>
      </c>
      <c r="I581" s="1">
        <v>0</v>
      </c>
      <c r="J581" s="1" t="str">
        <f t="shared" si="90"/>
        <v>0-5</v>
      </c>
      <c r="K581" s="1">
        <v>3.1</v>
      </c>
      <c r="L581" s="2">
        <v>20</v>
      </c>
      <c r="M581" s="1">
        <f t="shared" si="91"/>
        <v>20</v>
      </c>
      <c r="N581" s="1">
        <f t="shared" si="92"/>
        <v>20</v>
      </c>
      <c r="O581" t="s">
        <v>1053</v>
      </c>
      <c r="P581" s="3">
        <f>[2]Sheet1!K581/100</f>
        <v>0.9</v>
      </c>
    </row>
    <row r="582" spans="1:16" x14ac:dyDescent="0.35">
      <c r="A582" t="s">
        <v>632</v>
      </c>
      <c r="B582" t="str">
        <f>TRIM([1]Sheet1!AD582)</f>
        <v>Sandra Mccormick</v>
      </c>
      <c r="C582" t="str">
        <f>IF(UPPER(LEFT([1]Sheet1!W582,1))="F","FEMALE","MALE")</f>
        <v>FEMALE</v>
      </c>
      <c r="D582">
        <v>40</v>
      </c>
      <c r="E582" t="s">
        <v>35</v>
      </c>
      <c r="F582" t="s">
        <v>35</v>
      </c>
      <c r="G582" t="s">
        <v>11</v>
      </c>
      <c r="H582" t="s">
        <v>12</v>
      </c>
      <c r="I582" s="1">
        <v>20</v>
      </c>
      <c r="J582" s="1" t="str">
        <f t="shared" si="90"/>
        <v xml:space="preserve"> 16-20</v>
      </c>
      <c r="K582" s="1">
        <v>2.2999999999999998</v>
      </c>
      <c r="L582" s="1">
        <v>20</v>
      </c>
      <c r="M582" s="1">
        <f t="shared" si="91"/>
        <v>20</v>
      </c>
      <c r="N582" s="1">
        <f t="shared" si="92"/>
        <v>20</v>
      </c>
      <c r="O582" t="s">
        <v>1053</v>
      </c>
      <c r="P582" s="4">
        <f>[2]Sheet1!K582</f>
        <v>0.92</v>
      </c>
    </row>
    <row r="583" spans="1:16" x14ac:dyDescent="0.35">
      <c r="A583" t="s">
        <v>633</v>
      </c>
      <c r="B583" t="str">
        <f>TRIM([1]Sheet1!AD583)</f>
        <v>Michael Holland</v>
      </c>
      <c r="C583" t="str">
        <f>IF(UPPER(LEFT([1]Sheet1!W583,1))="F","FEMALE","MALE")</f>
        <v>MALE</v>
      </c>
      <c r="D583">
        <v>45</v>
      </c>
      <c r="E583" t="s">
        <v>14</v>
      </c>
      <c r="F583" t="s">
        <v>14</v>
      </c>
      <c r="G583" t="s">
        <v>15</v>
      </c>
      <c r="H583" t="s">
        <v>48</v>
      </c>
      <c r="I583" s="1">
        <v>3</v>
      </c>
      <c r="J583" s="1" t="str">
        <f t="shared" si="90"/>
        <v>0-5</v>
      </c>
      <c r="K583" s="1">
        <v>1.3</v>
      </c>
      <c r="L583" s="1" t="s">
        <v>1067</v>
      </c>
      <c r="M583" s="1" t="str">
        <f t="shared" si="91"/>
        <v>USD 20</v>
      </c>
      <c r="N583" s="1">
        <v>20</v>
      </c>
      <c r="O583" t="s">
        <v>1054</v>
      </c>
      <c r="P583" s="4">
        <f>[2]Sheet1!K583</f>
        <v>0.91</v>
      </c>
    </row>
    <row r="584" spans="1:16" x14ac:dyDescent="0.35">
      <c r="A584" t="s">
        <v>634</v>
      </c>
      <c r="B584" t="str">
        <f>TRIM([1]Sheet1!AD584)</f>
        <v>Kenneth Stevenson</v>
      </c>
      <c r="C584" t="str">
        <f>IF(UPPER(LEFT([1]Sheet1!W584,1))="F","FEMALE","MALE")</f>
        <v>MALE</v>
      </c>
      <c r="D584">
        <v>47</v>
      </c>
      <c r="E584" t="s">
        <v>77</v>
      </c>
      <c r="F584" t="s">
        <v>77</v>
      </c>
      <c r="G584" t="s">
        <v>78</v>
      </c>
      <c r="H584" t="s">
        <v>48</v>
      </c>
      <c r="I584" s="1">
        <v>28</v>
      </c>
      <c r="J584" s="1" t="str">
        <f t="shared" si="90"/>
        <v>26-30</v>
      </c>
      <c r="K584" s="1">
        <v>2.9</v>
      </c>
      <c r="L584" s="1" t="s">
        <v>1065</v>
      </c>
      <c r="M584" s="1" t="str">
        <f t="shared" si="91"/>
        <v>USD 50</v>
      </c>
      <c r="N584" s="1">
        <v>50</v>
      </c>
      <c r="O584" t="s">
        <v>1054</v>
      </c>
    </row>
    <row r="585" spans="1:16" x14ac:dyDescent="0.35">
      <c r="A585" t="s">
        <v>635</v>
      </c>
      <c r="B585" t="str">
        <f>TRIM([1]Sheet1!AD585)</f>
        <v>Timothy Bennett</v>
      </c>
      <c r="C585" t="str">
        <f>IF(UPPER(LEFT([1]Sheet1!W585,1))="F","FEMALE","MALE")</f>
        <v>MALE</v>
      </c>
      <c r="D585">
        <v>34</v>
      </c>
      <c r="E585" t="s">
        <v>50</v>
      </c>
      <c r="F585" t="s">
        <v>50</v>
      </c>
      <c r="G585" t="s">
        <v>51</v>
      </c>
      <c r="H585" t="s">
        <v>27</v>
      </c>
      <c r="I585" s="1">
        <v>0</v>
      </c>
      <c r="J585" s="1" t="str">
        <f t="shared" si="90"/>
        <v>0-5</v>
      </c>
      <c r="K585" s="1">
        <v>3.3</v>
      </c>
      <c r="L585" s="1">
        <v>40</v>
      </c>
      <c r="M585" s="1">
        <f t="shared" si="91"/>
        <v>40</v>
      </c>
      <c r="N585" s="1">
        <f>M585</f>
        <v>40</v>
      </c>
      <c r="O585" t="s">
        <v>1053</v>
      </c>
      <c r="P585" s="4">
        <f>[2]Sheet1!K585</f>
        <v>0.98</v>
      </c>
    </row>
    <row r="586" spans="1:16" x14ac:dyDescent="0.35">
      <c r="A586" t="s">
        <v>636</v>
      </c>
      <c r="B586" t="str">
        <f>TRIM([1]Sheet1!AD586)</f>
        <v>Gregory Randall</v>
      </c>
      <c r="C586" t="str">
        <f>IF(UPPER(LEFT([1]Sheet1!W586,1))="F","FEMALE","MALE")</f>
        <v>MALE</v>
      </c>
      <c r="D586">
        <v>47</v>
      </c>
      <c r="E586" t="s">
        <v>30</v>
      </c>
      <c r="F586" t="s">
        <v>30</v>
      </c>
      <c r="G586" t="s">
        <v>11</v>
      </c>
      <c r="H586" t="s">
        <v>39</v>
      </c>
      <c r="I586" s="1">
        <v>4</v>
      </c>
      <c r="J586" s="1" t="str">
        <f t="shared" si="90"/>
        <v>0-5</v>
      </c>
      <c r="K586" s="1">
        <v>4.2</v>
      </c>
      <c r="L586" s="1" t="s">
        <v>1067</v>
      </c>
      <c r="M586" s="1" t="str">
        <f t="shared" si="91"/>
        <v>USD 20</v>
      </c>
      <c r="N586" s="1">
        <v>20</v>
      </c>
      <c r="P586" s="4">
        <f>[2]Sheet1!K586</f>
        <v>0.82</v>
      </c>
    </row>
    <row r="587" spans="1:16" x14ac:dyDescent="0.35">
      <c r="A587" t="s">
        <v>637</v>
      </c>
      <c r="B587" t="str">
        <f>TRIM([1]Sheet1!AD587)</f>
        <v>Charles Martinez</v>
      </c>
      <c r="C587" t="str">
        <f>IF(UPPER(LEFT([1]Sheet1!W587,1))="F","FEMALE","MALE")</f>
        <v>MALE</v>
      </c>
      <c r="D587">
        <v>32</v>
      </c>
      <c r="E587" t="s">
        <v>99</v>
      </c>
      <c r="F587" t="s">
        <v>99</v>
      </c>
      <c r="G587" t="s">
        <v>38</v>
      </c>
      <c r="H587" t="s">
        <v>39</v>
      </c>
      <c r="I587" s="1">
        <v>9</v>
      </c>
      <c r="J587" s="1" t="str">
        <f t="shared" si="90"/>
        <v>5-10</v>
      </c>
      <c r="K587" s="1">
        <v>1.3</v>
      </c>
      <c r="L587" s="1" t="s">
        <v>1064</v>
      </c>
      <c r="M587" s="1" t="str">
        <f t="shared" si="91"/>
        <v>USD 40</v>
      </c>
      <c r="N587" s="1">
        <v>40</v>
      </c>
      <c r="O587" t="s">
        <v>1054</v>
      </c>
      <c r="P587" s="4">
        <f>[2]Sheet1!K587</f>
        <v>0.83</v>
      </c>
    </row>
    <row r="588" spans="1:16" x14ac:dyDescent="0.35">
      <c r="A588" t="s">
        <v>638</v>
      </c>
      <c r="B588" t="str">
        <f>TRIM([1]Sheet1!AD588)</f>
        <v>James Hall</v>
      </c>
      <c r="C588" t="str">
        <f>IF(UPPER(LEFT([1]Sheet1!W588,1))="F","FEMALE","MALE")</f>
        <v>MALE</v>
      </c>
      <c r="D588">
        <v>28</v>
      </c>
      <c r="E588" t="s">
        <v>35</v>
      </c>
      <c r="F588" t="s">
        <v>35</v>
      </c>
      <c r="G588" t="s">
        <v>11</v>
      </c>
      <c r="H588" t="s">
        <v>12</v>
      </c>
      <c r="I588" s="1">
        <v>2</v>
      </c>
      <c r="J588" s="1" t="str">
        <f t="shared" si="90"/>
        <v>0-5</v>
      </c>
      <c r="K588" s="1">
        <v>4.4000000000000004</v>
      </c>
      <c r="L588" s="2">
        <v>100</v>
      </c>
      <c r="M588" s="1">
        <f t="shared" si="91"/>
        <v>100</v>
      </c>
      <c r="N588" s="1">
        <f t="shared" ref="N588:N590" si="93">M588</f>
        <v>100</v>
      </c>
      <c r="O588" t="s">
        <v>1054</v>
      </c>
    </row>
    <row r="589" spans="1:16" x14ac:dyDescent="0.35">
      <c r="A589" t="s">
        <v>639</v>
      </c>
      <c r="B589" t="str">
        <f>TRIM([1]Sheet1!AD589)</f>
        <v>Michael Garcia</v>
      </c>
      <c r="C589" t="str">
        <f>IF(UPPER(LEFT([1]Sheet1!W589,1))="F","FEMALE","MALE")</f>
        <v>MALE</v>
      </c>
      <c r="D589">
        <v>32</v>
      </c>
      <c r="E589" t="s">
        <v>10</v>
      </c>
      <c r="F589" t="s">
        <v>10</v>
      </c>
      <c r="G589" t="s">
        <v>11</v>
      </c>
      <c r="H589" t="s">
        <v>48</v>
      </c>
      <c r="I589" s="1">
        <v>1</v>
      </c>
      <c r="J589" s="1" t="str">
        <f t="shared" si="90"/>
        <v>0-5</v>
      </c>
      <c r="K589" s="1">
        <v>3.4</v>
      </c>
      <c r="L589" s="1">
        <v>100</v>
      </c>
      <c r="M589" s="1">
        <f t="shared" si="91"/>
        <v>100</v>
      </c>
      <c r="N589" s="1">
        <f t="shared" si="93"/>
        <v>100</v>
      </c>
      <c r="O589" t="s">
        <v>1054</v>
      </c>
    </row>
    <row r="590" spans="1:16" x14ac:dyDescent="0.35">
      <c r="A590" t="s">
        <v>640</v>
      </c>
      <c r="B590" t="str">
        <f>TRIM([1]Sheet1!AD590)</f>
        <v>Michele Duran</v>
      </c>
      <c r="C590" t="str">
        <f>IF(UPPER(LEFT([1]Sheet1!W590,1))="F","FEMALE","MALE")</f>
        <v>FEMALE</v>
      </c>
      <c r="D590">
        <v>49</v>
      </c>
      <c r="E590" t="s">
        <v>21</v>
      </c>
      <c r="F590" t="s">
        <v>21</v>
      </c>
      <c r="G590" t="s">
        <v>22</v>
      </c>
      <c r="H590" t="s">
        <v>23</v>
      </c>
      <c r="I590" s="1">
        <v>2</v>
      </c>
      <c r="J590" s="1" t="str">
        <f t="shared" si="90"/>
        <v>0-5</v>
      </c>
      <c r="K590" s="1">
        <v>3.4</v>
      </c>
      <c r="L590" s="2">
        <v>100</v>
      </c>
      <c r="M590" s="1">
        <f t="shared" si="91"/>
        <v>100</v>
      </c>
      <c r="N590" s="1">
        <f t="shared" si="93"/>
        <v>100</v>
      </c>
      <c r="O590" t="s">
        <v>1054</v>
      </c>
      <c r="P590" s="4">
        <f>[2]Sheet1!K590</f>
        <v>0.85</v>
      </c>
    </row>
    <row r="591" spans="1:16" x14ac:dyDescent="0.35">
      <c r="A591" t="s">
        <v>641</v>
      </c>
      <c r="B591" t="str">
        <f>TRIM([1]Sheet1!AD591)</f>
        <v>Jessica Gray</v>
      </c>
      <c r="C591" t="str">
        <f>IF(UPPER(LEFT([1]Sheet1!W591,1))="F","FEMALE","MALE")</f>
        <v>FEMALE</v>
      </c>
      <c r="D591">
        <v>36</v>
      </c>
      <c r="E591" t="s">
        <v>37</v>
      </c>
      <c r="F591" t="s">
        <v>37</v>
      </c>
      <c r="G591" t="s">
        <v>38</v>
      </c>
      <c r="H591" t="s">
        <v>12</v>
      </c>
      <c r="I591" s="1">
        <v>16</v>
      </c>
      <c r="J591" s="1" t="str">
        <f t="shared" si="90"/>
        <v>11-16</v>
      </c>
      <c r="K591" s="1">
        <v>3.2</v>
      </c>
      <c r="L591" s="1" t="s">
        <v>1067</v>
      </c>
      <c r="M591" s="1" t="str">
        <f t="shared" si="91"/>
        <v>USD 20</v>
      </c>
      <c r="N591" s="1">
        <v>20</v>
      </c>
    </row>
    <row r="592" spans="1:16" x14ac:dyDescent="0.35">
      <c r="A592" t="s">
        <v>642</v>
      </c>
      <c r="B592" t="str">
        <f>TRIM([1]Sheet1!AD592)</f>
        <v>Keith Shaffer</v>
      </c>
      <c r="C592" t="str">
        <f>IF(UPPER(LEFT([1]Sheet1!W592,1))="F","FEMALE","MALE")</f>
        <v>MALE</v>
      </c>
      <c r="D592">
        <v>59</v>
      </c>
      <c r="E592" t="s">
        <v>99</v>
      </c>
      <c r="F592" t="s">
        <v>99</v>
      </c>
      <c r="G592" t="s">
        <v>38</v>
      </c>
      <c r="H592" t="s">
        <v>8</v>
      </c>
      <c r="I592" s="1">
        <v>22</v>
      </c>
      <c r="J592" s="1" t="str">
        <f t="shared" si="90"/>
        <v>21- 25</v>
      </c>
      <c r="K592" s="1">
        <v>3.6</v>
      </c>
      <c r="L592" s="1" t="s">
        <v>1067</v>
      </c>
      <c r="M592" s="1" t="str">
        <f t="shared" si="91"/>
        <v>USD 20</v>
      </c>
      <c r="N592" s="1">
        <v>20</v>
      </c>
      <c r="O592" t="s">
        <v>1053</v>
      </c>
      <c r="P592" s="4">
        <f>[2]Sheet1!K592</f>
        <v>0.63</v>
      </c>
    </row>
    <row r="593" spans="1:16" x14ac:dyDescent="0.35">
      <c r="A593" t="s">
        <v>643</v>
      </c>
      <c r="B593" t="str">
        <f>TRIM([1]Sheet1!AD593)</f>
        <v>Jessica Decker</v>
      </c>
      <c r="C593" t="str">
        <f>IF(UPPER(LEFT([1]Sheet1!W593,1))="F","FEMALE","MALE")</f>
        <v>FEMALE</v>
      </c>
      <c r="D593">
        <v>52</v>
      </c>
      <c r="E593" t="s">
        <v>70</v>
      </c>
      <c r="F593" t="s">
        <v>70</v>
      </c>
      <c r="G593" t="s">
        <v>11</v>
      </c>
      <c r="H593" t="s">
        <v>41</v>
      </c>
      <c r="I593" s="1">
        <v>22</v>
      </c>
      <c r="J593" s="1" t="str">
        <f t="shared" si="90"/>
        <v>21- 25</v>
      </c>
      <c r="K593" s="1">
        <v>0</v>
      </c>
      <c r="L593" s="2">
        <v>20</v>
      </c>
      <c r="M593" s="1">
        <f t="shared" si="91"/>
        <v>20</v>
      </c>
      <c r="N593" s="1">
        <f t="shared" ref="N593:N594" si="94">M593</f>
        <v>20</v>
      </c>
      <c r="O593" t="s">
        <v>1053</v>
      </c>
    </row>
    <row r="594" spans="1:16" x14ac:dyDescent="0.35">
      <c r="A594" t="s">
        <v>644</v>
      </c>
      <c r="B594" t="str">
        <f>TRIM([1]Sheet1!AD594)</f>
        <v>Brianna Pittman</v>
      </c>
      <c r="C594" t="str">
        <f>IF(UPPER(LEFT([1]Sheet1!W594,1))="F","FEMALE","MALE")</f>
        <v>FEMALE</v>
      </c>
      <c r="D594">
        <v>24</v>
      </c>
      <c r="E594" t="s">
        <v>96</v>
      </c>
      <c r="F594" t="s">
        <v>96</v>
      </c>
      <c r="G594" t="s">
        <v>97</v>
      </c>
      <c r="H594" t="s">
        <v>8</v>
      </c>
      <c r="I594" s="1">
        <v>5</v>
      </c>
      <c r="J594" s="1" t="str">
        <f t="shared" si="90"/>
        <v>0-5</v>
      </c>
      <c r="K594" s="1">
        <v>1.8</v>
      </c>
      <c r="L594" s="1">
        <v>40</v>
      </c>
      <c r="M594" s="1">
        <f t="shared" si="91"/>
        <v>40</v>
      </c>
      <c r="N594" s="1">
        <f t="shared" si="94"/>
        <v>40</v>
      </c>
      <c r="O594" t="s">
        <v>1054</v>
      </c>
      <c r="P594" s="4">
        <f>[2]Sheet1!K594</f>
        <v>0.86</v>
      </c>
    </row>
    <row r="595" spans="1:16" x14ac:dyDescent="0.35">
      <c r="A595" t="s">
        <v>645</v>
      </c>
      <c r="B595" t="str">
        <f>TRIM([1]Sheet1!AD595)</f>
        <v>Kimberly Hunter</v>
      </c>
      <c r="C595" t="str">
        <f>IF(UPPER(LEFT([1]Sheet1!W595,1))="F","FEMALE","MALE")</f>
        <v>FEMALE</v>
      </c>
      <c r="D595">
        <v>26</v>
      </c>
      <c r="E595" t="s">
        <v>10</v>
      </c>
      <c r="F595" t="s">
        <v>10</v>
      </c>
      <c r="G595" t="s">
        <v>11</v>
      </c>
      <c r="H595" t="s">
        <v>16</v>
      </c>
      <c r="I595" s="1">
        <v>2</v>
      </c>
      <c r="J595" s="1" t="str">
        <f t="shared" si="90"/>
        <v>0-5</v>
      </c>
      <c r="K595" s="1">
        <v>2.5</v>
      </c>
      <c r="L595" s="1" t="s">
        <v>1063</v>
      </c>
      <c r="M595" s="1" t="str">
        <f t="shared" si="91"/>
        <v>USD 75</v>
      </c>
      <c r="N595" s="1">
        <v>75</v>
      </c>
      <c r="O595" t="s">
        <v>1054</v>
      </c>
      <c r="P595" s="3">
        <f>[2]Sheet1!K595/100</f>
        <v>0.6</v>
      </c>
    </row>
    <row r="596" spans="1:16" x14ac:dyDescent="0.35">
      <c r="A596" t="s">
        <v>646</v>
      </c>
      <c r="B596" t="str">
        <f>TRIM([1]Sheet1!AD596)</f>
        <v>Daniel Martin</v>
      </c>
      <c r="C596" t="str">
        <f>IF(UPPER(LEFT([1]Sheet1!W596,1))="F","FEMALE","MALE")</f>
        <v>MALE</v>
      </c>
      <c r="D596">
        <v>55</v>
      </c>
      <c r="E596" t="s">
        <v>70</v>
      </c>
      <c r="F596" t="s">
        <v>70</v>
      </c>
      <c r="G596" t="s">
        <v>11</v>
      </c>
      <c r="H596" t="s">
        <v>41</v>
      </c>
      <c r="I596" s="1">
        <v>24</v>
      </c>
      <c r="J596" s="1" t="str">
        <f t="shared" si="90"/>
        <v>21- 25</v>
      </c>
      <c r="K596" s="1">
        <v>2</v>
      </c>
      <c r="L596" s="1">
        <v>40</v>
      </c>
      <c r="M596" s="1">
        <f t="shared" si="91"/>
        <v>40</v>
      </c>
      <c r="N596" s="1">
        <f t="shared" ref="N596:N597" si="95">M596</f>
        <v>40</v>
      </c>
      <c r="O596" t="s">
        <v>1054</v>
      </c>
      <c r="P596" s="3">
        <f>[2]Sheet1!K596/100</f>
        <v>0.88</v>
      </c>
    </row>
    <row r="597" spans="1:16" x14ac:dyDescent="0.35">
      <c r="A597" t="s">
        <v>647</v>
      </c>
      <c r="B597" t="str">
        <f>TRIM([1]Sheet1!AD597)</f>
        <v>Rachel Smith</v>
      </c>
      <c r="C597" t="str">
        <f>IF(UPPER(LEFT([1]Sheet1!W597,1))="F","FEMALE","MALE")</f>
        <v>FEMALE</v>
      </c>
      <c r="D597">
        <v>56</v>
      </c>
      <c r="E597" t="s">
        <v>6</v>
      </c>
      <c r="F597" t="s">
        <v>6</v>
      </c>
      <c r="G597" t="s">
        <v>7</v>
      </c>
      <c r="H597" t="s">
        <v>12</v>
      </c>
      <c r="I597" s="1">
        <v>37</v>
      </c>
      <c r="J597" s="1" t="str">
        <f t="shared" si="90"/>
        <v>31+</v>
      </c>
      <c r="K597" s="1">
        <v>0</v>
      </c>
      <c r="L597" s="1">
        <v>40</v>
      </c>
      <c r="M597" s="1">
        <f t="shared" si="91"/>
        <v>40</v>
      </c>
      <c r="N597" s="1">
        <f t="shared" si="95"/>
        <v>40</v>
      </c>
      <c r="O597" t="s">
        <v>1053</v>
      </c>
      <c r="P597" s="4">
        <f>[2]Sheet1!K597</f>
        <v>0.7</v>
      </c>
    </row>
    <row r="598" spans="1:16" x14ac:dyDescent="0.35">
      <c r="A598" t="s">
        <v>648</v>
      </c>
      <c r="B598" t="str">
        <f>TRIM([1]Sheet1!AD598)</f>
        <v>Michael Miller</v>
      </c>
      <c r="C598" t="str">
        <f>IF(UPPER(LEFT([1]Sheet1!W598,1))="F","FEMALE","MALE")</f>
        <v>MALE</v>
      </c>
      <c r="D598">
        <v>36</v>
      </c>
      <c r="E598" t="s">
        <v>74</v>
      </c>
      <c r="F598" t="s">
        <v>74</v>
      </c>
      <c r="G598" t="s">
        <v>75</v>
      </c>
      <c r="H598" t="s">
        <v>16</v>
      </c>
      <c r="I598" s="1">
        <v>3</v>
      </c>
      <c r="J598" s="1" t="str">
        <f t="shared" si="90"/>
        <v>0-5</v>
      </c>
      <c r="K598" s="1">
        <v>1.3</v>
      </c>
      <c r="L598" s="1" t="s">
        <v>1065</v>
      </c>
      <c r="M598" s="1" t="str">
        <f t="shared" si="91"/>
        <v>USD 50</v>
      </c>
      <c r="N598" s="1">
        <v>50</v>
      </c>
      <c r="O598" t="s">
        <v>1054</v>
      </c>
      <c r="P598" s="4">
        <f>[2]Sheet1!K598</f>
        <v>0.77</v>
      </c>
    </row>
    <row r="599" spans="1:16" x14ac:dyDescent="0.35">
      <c r="A599" t="s">
        <v>649</v>
      </c>
      <c r="B599" t="str">
        <f>TRIM([1]Sheet1!AD599)</f>
        <v>Willie Clark</v>
      </c>
      <c r="C599" t="str">
        <f>IF(UPPER(LEFT([1]Sheet1!W599,1))="F","FEMALE","MALE")</f>
        <v>MALE</v>
      </c>
      <c r="D599">
        <v>48</v>
      </c>
      <c r="E599" t="s">
        <v>37</v>
      </c>
      <c r="F599" t="s">
        <v>37</v>
      </c>
      <c r="G599" t="s">
        <v>38</v>
      </c>
      <c r="H599" t="s">
        <v>18</v>
      </c>
      <c r="I599" s="1">
        <v>18</v>
      </c>
      <c r="J599" s="1" t="str">
        <f t="shared" si="90"/>
        <v xml:space="preserve"> 16-20</v>
      </c>
      <c r="K599" s="1">
        <v>0</v>
      </c>
      <c r="L599" s="1">
        <v>75</v>
      </c>
      <c r="M599" s="1">
        <f t="shared" si="91"/>
        <v>75</v>
      </c>
      <c r="N599" s="1">
        <f t="shared" ref="N599:N602" si="96">M599</f>
        <v>75</v>
      </c>
      <c r="O599" t="s">
        <v>1053</v>
      </c>
      <c r="P599" s="4">
        <f>[2]Sheet1!K599</f>
        <v>0.8</v>
      </c>
    </row>
    <row r="600" spans="1:16" x14ac:dyDescent="0.35">
      <c r="A600" t="s">
        <v>650</v>
      </c>
      <c r="B600" t="str">
        <f>TRIM([1]Sheet1!AD600)</f>
        <v>Jeremy Hernandez</v>
      </c>
      <c r="C600" t="str">
        <f>IF(UPPER(LEFT([1]Sheet1!W600,1))="F","FEMALE","MALE")</f>
        <v>MALE</v>
      </c>
      <c r="D600">
        <v>55</v>
      </c>
      <c r="E600" t="s">
        <v>77</v>
      </c>
      <c r="F600" t="s">
        <v>77</v>
      </c>
      <c r="G600" t="s">
        <v>78</v>
      </c>
      <c r="H600" t="s">
        <v>62</v>
      </c>
      <c r="I600" s="1">
        <v>6</v>
      </c>
      <c r="J600" s="1" t="str">
        <f t="shared" si="90"/>
        <v>5-10</v>
      </c>
      <c r="K600" s="1">
        <v>3.6</v>
      </c>
      <c r="L600" s="2">
        <v>40</v>
      </c>
      <c r="M600" s="1">
        <f t="shared" si="91"/>
        <v>40</v>
      </c>
      <c r="N600" s="1">
        <f t="shared" si="96"/>
        <v>40</v>
      </c>
      <c r="O600" t="s">
        <v>1054</v>
      </c>
    </row>
    <row r="601" spans="1:16" x14ac:dyDescent="0.35">
      <c r="A601" t="s">
        <v>651</v>
      </c>
      <c r="B601" t="str">
        <f>TRIM([1]Sheet1!AD601)</f>
        <v>Tina Shelton</v>
      </c>
      <c r="C601" t="str">
        <f>IF(UPPER(LEFT([1]Sheet1!W601,1))="F","FEMALE","MALE")</f>
        <v>FEMALE</v>
      </c>
      <c r="D601">
        <v>56</v>
      </c>
      <c r="E601" t="s">
        <v>105</v>
      </c>
      <c r="F601" t="s">
        <v>105</v>
      </c>
      <c r="G601" t="s">
        <v>38</v>
      </c>
      <c r="H601" t="s">
        <v>48</v>
      </c>
      <c r="I601" s="1">
        <v>17</v>
      </c>
      <c r="J601" s="1" t="str">
        <f t="shared" si="90"/>
        <v xml:space="preserve"> 16-20</v>
      </c>
      <c r="K601" s="1">
        <v>1.3</v>
      </c>
      <c r="M601" s="1">
        <f t="shared" si="91"/>
        <v>0</v>
      </c>
      <c r="N601" s="1">
        <f t="shared" si="96"/>
        <v>0</v>
      </c>
      <c r="P601" s="4">
        <f>[2]Sheet1!K601</f>
        <v>0.87</v>
      </c>
    </row>
    <row r="602" spans="1:16" x14ac:dyDescent="0.35">
      <c r="A602" t="s">
        <v>652</v>
      </c>
      <c r="B602" t="str">
        <f>TRIM([1]Sheet1!AD602)</f>
        <v>Pamela Larson</v>
      </c>
      <c r="C602" t="str">
        <f>IF(UPPER(LEFT([1]Sheet1!W602,1))="F","FEMALE","MALE")</f>
        <v>FEMALE</v>
      </c>
      <c r="D602">
        <v>28</v>
      </c>
      <c r="E602" t="s">
        <v>70</v>
      </c>
      <c r="F602" t="s">
        <v>70</v>
      </c>
      <c r="G602" t="s">
        <v>11</v>
      </c>
      <c r="H602" t="s">
        <v>8</v>
      </c>
      <c r="I602" s="1">
        <v>1</v>
      </c>
      <c r="J602" s="1" t="str">
        <f t="shared" si="90"/>
        <v>0-5</v>
      </c>
      <c r="K602" s="1">
        <v>2.7</v>
      </c>
      <c r="L602" s="1">
        <v>75</v>
      </c>
      <c r="M602" s="1">
        <f t="shared" si="91"/>
        <v>75</v>
      </c>
      <c r="N602" s="1">
        <f t="shared" si="96"/>
        <v>75</v>
      </c>
      <c r="O602" t="s">
        <v>1054</v>
      </c>
      <c r="P602" s="4">
        <f>[2]Sheet1!K602</f>
        <v>0.93</v>
      </c>
    </row>
    <row r="603" spans="1:16" x14ac:dyDescent="0.35">
      <c r="A603" t="s">
        <v>653</v>
      </c>
      <c r="B603" t="str">
        <f>TRIM([1]Sheet1!AD603)</f>
        <v>Ryan Ewing</v>
      </c>
      <c r="C603" t="str">
        <f>IF(UPPER(LEFT([1]Sheet1!W603,1))="F","FEMALE","MALE")</f>
        <v>MALE</v>
      </c>
      <c r="D603">
        <v>60</v>
      </c>
      <c r="E603" t="s">
        <v>30</v>
      </c>
      <c r="F603" t="s">
        <v>30</v>
      </c>
      <c r="G603" t="s">
        <v>11</v>
      </c>
      <c r="H603" t="s">
        <v>23</v>
      </c>
      <c r="I603" s="1">
        <v>39</v>
      </c>
      <c r="J603" s="1" t="str">
        <f t="shared" si="90"/>
        <v>31+</v>
      </c>
      <c r="K603" s="1">
        <v>1.5</v>
      </c>
      <c r="L603" s="1" t="s">
        <v>1062</v>
      </c>
      <c r="M603" s="1" t="str">
        <f t="shared" si="91"/>
        <v>USD 100</v>
      </c>
      <c r="N603" s="1">
        <v>100</v>
      </c>
      <c r="P603" s="3">
        <f>[2]Sheet1!K603/100</f>
        <v>0.88</v>
      </c>
    </row>
    <row r="604" spans="1:16" x14ac:dyDescent="0.35">
      <c r="A604" t="s">
        <v>654</v>
      </c>
      <c r="B604" t="str">
        <f>TRIM([1]Sheet1!AD604)</f>
        <v>Mark Cochran</v>
      </c>
      <c r="C604" t="str">
        <f>IF(UPPER(LEFT([1]Sheet1!W604,1))="F","FEMALE","MALE")</f>
        <v>MALE</v>
      </c>
      <c r="D604">
        <v>34</v>
      </c>
      <c r="E604" t="s">
        <v>60</v>
      </c>
      <c r="F604" t="s">
        <v>60</v>
      </c>
      <c r="G604" t="s">
        <v>61</v>
      </c>
      <c r="H604" t="s">
        <v>8</v>
      </c>
      <c r="I604" s="1">
        <v>15</v>
      </c>
      <c r="J604" s="1" t="str">
        <f t="shared" si="90"/>
        <v>11-16</v>
      </c>
      <c r="K604" s="1">
        <v>0</v>
      </c>
      <c r="L604" s="1">
        <v>20</v>
      </c>
      <c r="M604" s="1">
        <f t="shared" si="91"/>
        <v>20</v>
      </c>
      <c r="N604" s="1">
        <f t="shared" ref="N604:N609" si="97">M604</f>
        <v>20</v>
      </c>
      <c r="O604" t="s">
        <v>1053</v>
      </c>
      <c r="P604" s="4">
        <f>[2]Sheet1!K604</f>
        <v>1</v>
      </c>
    </row>
    <row r="605" spans="1:16" x14ac:dyDescent="0.35">
      <c r="A605" t="s">
        <v>655</v>
      </c>
      <c r="B605" t="str">
        <f>TRIM([1]Sheet1!AD605)</f>
        <v>Martha Carson</v>
      </c>
      <c r="C605" t="str">
        <f>IF(UPPER(LEFT([1]Sheet1!W605,1))="F","FEMALE","MALE")</f>
        <v>FEMALE</v>
      </c>
      <c r="D605">
        <v>38</v>
      </c>
      <c r="E605" t="s">
        <v>25</v>
      </c>
      <c r="F605" t="s">
        <v>25</v>
      </c>
      <c r="G605" t="s">
        <v>26</v>
      </c>
      <c r="H605" t="s">
        <v>23</v>
      </c>
      <c r="I605" s="1">
        <v>13</v>
      </c>
      <c r="J605" s="1" t="str">
        <f t="shared" si="90"/>
        <v>11-16</v>
      </c>
      <c r="K605" s="1">
        <v>0</v>
      </c>
      <c r="L605" s="2">
        <v>40</v>
      </c>
      <c r="M605" s="1">
        <f t="shared" si="91"/>
        <v>40</v>
      </c>
      <c r="N605" s="1">
        <f t="shared" si="97"/>
        <v>40</v>
      </c>
      <c r="O605" t="s">
        <v>1054</v>
      </c>
      <c r="P605" s="3">
        <f>[2]Sheet1!K605/100</f>
        <v>0.61</v>
      </c>
    </row>
    <row r="606" spans="1:16" x14ac:dyDescent="0.35">
      <c r="A606" t="s">
        <v>656</v>
      </c>
      <c r="B606" t="str">
        <f>TRIM([1]Sheet1!AD606)</f>
        <v>Heather Jackson</v>
      </c>
      <c r="C606" t="str">
        <f>IF(UPPER(LEFT([1]Sheet1!W606,1))="F","FEMALE","MALE")</f>
        <v>FEMALE</v>
      </c>
      <c r="D606">
        <v>51</v>
      </c>
      <c r="E606" t="s">
        <v>60</v>
      </c>
      <c r="F606" t="s">
        <v>60</v>
      </c>
      <c r="G606" t="s">
        <v>61</v>
      </c>
      <c r="H606" t="s">
        <v>18</v>
      </c>
      <c r="I606" s="1">
        <v>17</v>
      </c>
      <c r="J606" s="1" t="str">
        <f t="shared" si="90"/>
        <v xml:space="preserve"> 16-20</v>
      </c>
      <c r="K606" s="1">
        <v>3</v>
      </c>
      <c r="L606" s="1">
        <v>100</v>
      </c>
      <c r="M606" s="1">
        <f t="shared" si="91"/>
        <v>100</v>
      </c>
      <c r="N606" s="1">
        <f t="shared" si="97"/>
        <v>100</v>
      </c>
      <c r="O606" t="s">
        <v>1053</v>
      </c>
      <c r="P606" s="4">
        <f>[2]Sheet1!K606</f>
        <v>0.79</v>
      </c>
    </row>
    <row r="607" spans="1:16" x14ac:dyDescent="0.35">
      <c r="A607" t="s">
        <v>657</v>
      </c>
      <c r="B607" t="str">
        <f>TRIM([1]Sheet1!AD607)</f>
        <v>Megan Young</v>
      </c>
      <c r="C607" t="str">
        <f>IF(UPPER(LEFT([1]Sheet1!W607,1))="F","FEMALE","MALE")</f>
        <v>FEMALE</v>
      </c>
      <c r="D607">
        <v>21</v>
      </c>
      <c r="E607" t="s">
        <v>45</v>
      </c>
      <c r="F607" t="s">
        <v>45</v>
      </c>
      <c r="G607" t="s">
        <v>46</v>
      </c>
      <c r="H607" t="s">
        <v>12</v>
      </c>
      <c r="I607" s="1">
        <v>1</v>
      </c>
      <c r="J607" s="1" t="str">
        <f t="shared" si="90"/>
        <v>0-5</v>
      </c>
      <c r="K607" s="1">
        <v>1.2</v>
      </c>
      <c r="L607" s="1">
        <v>30</v>
      </c>
      <c r="M607" s="1">
        <f t="shared" si="91"/>
        <v>30</v>
      </c>
      <c r="N607" s="1">
        <f t="shared" si="97"/>
        <v>30</v>
      </c>
      <c r="P607" s="4">
        <f>[2]Sheet1!K607</f>
        <v>0.73</v>
      </c>
    </row>
    <row r="608" spans="1:16" x14ac:dyDescent="0.35">
      <c r="A608" t="s">
        <v>658</v>
      </c>
      <c r="B608" t="str">
        <f>TRIM([1]Sheet1!AD608)</f>
        <v>Thomas Davis</v>
      </c>
      <c r="C608" t="str">
        <f>IF(UPPER(LEFT([1]Sheet1!W608,1))="F","FEMALE","MALE")</f>
        <v>MALE</v>
      </c>
      <c r="D608">
        <v>35</v>
      </c>
      <c r="E608" t="s">
        <v>6</v>
      </c>
      <c r="F608" t="s">
        <v>6</v>
      </c>
      <c r="G608" t="s">
        <v>7</v>
      </c>
      <c r="H608" t="s">
        <v>39</v>
      </c>
      <c r="I608" s="1">
        <v>16</v>
      </c>
      <c r="J608" s="1" t="str">
        <f t="shared" si="90"/>
        <v>11-16</v>
      </c>
      <c r="K608" s="1">
        <v>1.3</v>
      </c>
      <c r="M608" s="1">
        <f t="shared" si="91"/>
        <v>0</v>
      </c>
      <c r="N608" s="1">
        <f t="shared" si="97"/>
        <v>0</v>
      </c>
      <c r="O608" t="s">
        <v>1054</v>
      </c>
      <c r="P608" s="4">
        <f>[2]Sheet1!K608</f>
        <v>0.64</v>
      </c>
    </row>
    <row r="609" spans="1:16" x14ac:dyDescent="0.35">
      <c r="A609" t="s">
        <v>659</v>
      </c>
      <c r="B609" t="str">
        <f>TRIM([1]Sheet1!AD609)</f>
        <v>Thomas Mooney</v>
      </c>
      <c r="C609" t="str">
        <f>IF(UPPER(LEFT([1]Sheet1!W609,1))="F","FEMALE","MALE")</f>
        <v>MALE</v>
      </c>
      <c r="D609">
        <v>27</v>
      </c>
      <c r="E609" t="s">
        <v>57</v>
      </c>
      <c r="F609" t="s">
        <v>57</v>
      </c>
      <c r="G609" t="s">
        <v>58</v>
      </c>
      <c r="H609" t="s">
        <v>18</v>
      </c>
      <c r="I609" s="1">
        <v>9</v>
      </c>
      <c r="J609" s="1" t="str">
        <f t="shared" si="90"/>
        <v>5-10</v>
      </c>
      <c r="L609" s="2">
        <v>100</v>
      </c>
      <c r="M609" s="1">
        <f t="shared" si="91"/>
        <v>100</v>
      </c>
      <c r="N609" s="1">
        <f t="shared" si="97"/>
        <v>100</v>
      </c>
      <c r="O609" t="s">
        <v>1054</v>
      </c>
    </row>
    <row r="610" spans="1:16" x14ac:dyDescent="0.35">
      <c r="A610" t="s">
        <v>660</v>
      </c>
      <c r="B610" t="str">
        <f>TRIM([1]Sheet1!AD610)</f>
        <v>Susan Smith</v>
      </c>
      <c r="C610" t="str">
        <f>IF(UPPER(LEFT([1]Sheet1!W610,1))="F","FEMALE","MALE")</f>
        <v>FEMALE</v>
      </c>
      <c r="D610">
        <v>42</v>
      </c>
      <c r="E610" t="s">
        <v>32</v>
      </c>
      <c r="F610" t="s">
        <v>32</v>
      </c>
      <c r="G610" t="s">
        <v>33</v>
      </c>
      <c r="H610" t="s">
        <v>12</v>
      </c>
      <c r="I610" s="1">
        <v>20</v>
      </c>
      <c r="J610" s="1" t="str">
        <f t="shared" si="90"/>
        <v xml:space="preserve"> 16-20</v>
      </c>
      <c r="K610" s="1">
        <v>3.8</v>
      </c>
      <c r="L610" s="1" t="s">
        <v>1065</v>
      </c>
      <c r="M610" s="1" t="str">
        <f t="shared" si="91"/>
        <v>USD 50</v>
      </c>
      <c r="N610" s="1">
        <v>50</v>
      </c>
      <c r="O610" t="s">
        <v>1053</v>
      </c>
      <c r="P610" s="4">
        <f>[2]Sheet1!K610</f>
        <v>0.93</v>
      </c>
    </row>
    <row r="611" spans="1:16" x14ac:dyDescent="0.35">
      <c r="A611" t="s">
        <v>661</v>
      </c>
      <c r="B611" t="str">
        <f>TRIM([1]Sheet1!AD611)</f>
        <v>Brianna Orr</v>
      </c>
      <c r="C611" t="str">
        <f>IF(UPPER(LEFT([1]Sheet1!W611,1))="F","FEMALE","MALE")</f>
        <v>FEMALE</v>
      </c>
      <c r="D611">
        <v>52</v>
      </c>
      <c r="E611" t="s">
        <v>70</v>
      </c>
      <c r="F611" t="s">
        <v>70</v>
      </c>
      <c r="G611" t="s">
        <v>11</v>
      </c>
      <c r="H611" t="s">
        <v>8</v>
      </c>
      <c r="I611" s="1">
        <v>29</v>
      </c>
      <c r="J611" s="1" t="str">
        <f t="shared" si="90"/>
        <v>26-30</v>
      </c>
      <c r="K611" s="1">
        <v>3.8</v>
      </c>
      <c r="L611" s="1">
        <v>30</v>
      </c>
      <c r="M611" s="1">
        <f t="shared" si="91"/>
        <v>30</v>
      </c>
      <c r="N611" s="1">
        <f t="shared" ref="N611:N612" si="98">M611</f>
        <v>30</v>
      </c>
      <c r="O611" t="s">
        <v>1053</v>
      </c>
      <c r="P611" s="4">
        <f>[2]Sheet1!K611</f>
        <v>0.68</v>
      </c>
    </row>
    <row r="612" spans="1:16" x14ac:dyDescent="0.35">
      <c r="A612" t="s">
        <v>662</v>
      </c>
      <c r="B612" t="str">
        <f>TRIM([1]Sheet1!AD612)</f>
        <v>Dustin Smith</v>
      </c>
      <c r="C612" t="str">
        <f>IF(UPPER(LEFT([1]Sheet1!W612,1))="F","FEMALE","MALE")</f>
        <v>MALE</v>
      </c>
      <c r="D612">
        <v>53</v>
      </c>
      <c r="E612" t="s">
        <v>60</v>
      </c>
      <c r="F612" t="s">
        <v>60</v>
      </c>
      <c r="G612" t="s">
        <v>61</v>
      </c>
      <c r="H612" t="s">
        <v>18</v>
      </c>
      <c r="I612" s="1">
        <v>21</v>
      </c>
      <c r="J612" s="1" t="str">
        <f t="shared" si="90"/>
        <v>21- 25</v>
      </c>
      <c r="K612" s="1">
        <v>4.7</v>
      </c>
      <c r="L612" s="1">
        <v>40</v>
      </c>
      <c r="M612" s="1">
        <f t="shared" si="91"/>
        <v>40</v>
      </c>
      <c r="N612" s="1">
        <f t="shared" si="98"/>
        <v>40</v>
      </c>
      <c r="O612" t="s">
        <v>1054</v>
      </c>
      <c r="P612" s="4">
        <f>[2]Sheet1!K612</f>
        <v>0.62</v>
      </c>
    </row>
    <row r="613" spans="1:16" x14ac:dyDescent="0.35">
      <c r="A613" t="s">
        <v>663</v>
      </c>
      <c r="B613" t="str">
        <f>TRIM([1]Sheet1!AD613)</f>
        <v>Sarah White</v>
      </c>
      <c r="C613" t="str">
        <f>IF(UPPER(LEFT([1]Sheet1!W613,1))="F","FEMALE","MALE")</f>
        <v>FEMALE</v>
      </c>
      <c r="D613">
        <v>54</v>
      </c>
      <c r="E613" t="s">
        <v>6</v>
      </c>
      <c r="F613" t="s">
        <v>6</v>
      </c>
      <c r="G613" t="s">
        <v>7</v>
      </c>
      <c r="H613" t="s">
        <v>12</v>
      </c>
      <c r="I613" s="1">
        <v>28</v>
      </c>
      <c r="J613" s="1" t="str">
        <f t="shared" si="90"/>
        <v>26-30</v>
      </c>
      <c r="K613" s="1">
        <v>1.1000000000000001</v>
      </c>
      <c r="L613" s="1" t="s">
        <v>1064</v>
      </c>
      <c r="M613" s="1" t="str">
        <f t="shared" si="91"/>
        <v>USD 40</v>
      </c>
      <c r="N613" s="1">
        <v>40</v>
      </c>
      <c r="O613" t="s">
        <v>1053</v>
      </c>
    </row>
    <row r="614" spans="1:16" x14ac:dyDescent="0.35">
      <c r="A614" t="s">
        <v>664</v>
      </c>
      <c r="B614" t="str">
        <f>TRIM([1]Sheet1!AD614)</f>
        <v>Michael Davis</v>
      </c>
      <c r="C614" t="str">
        <f>IF(UPPER(LEFT([1]Sheet1!W614,1))="F","FEMALE","MALE")</f>
        <v>MALE</v>
      </c>
      <c r="D614">
        <v>51</v>
      </c>
      <c r="E614" t="s">
        <v>45</v>
      </c>
      <c r="F614" t="s">
        <v>45</v>
      </c>
      <c r="G614" t="s">
        <v>46</v>
      </c>
      <c r="H614" t="s">
        <v>16</v>
      </c>
      <c r="I614" s="1">
        <v>5</v>
      </c>
      <c r="J614" s="1" t="str">
        <f t="shared" si="90"/>
        <v>0-5</v>
      </c>
      <c r="K614" s="1">
        <v>4.2</v>
      </c>
      <c r="L614" s="1">
        <v>50</v>
      </c>
      <c r="M614" s="1">
        <f t="shared" si="91"/>
        <v>50</v>
      </c>
      <c r="N614" s="1">
        <f t="shared" ref="N614:N615" si="99">M614</f>
        <v>50</v>
      </c>
      <c r="O614" t="s">
        <v>1054</v>
      </c>
      <c r="P614" s="4">
        <f>[2]Sheet1!K614</f>
        <v>0.82</v>
      </c>
    </row>
    <row r="615" spans="1:16" x14ac:dyDescent="0.35">
      <c r="A615" t="s">
        <v>665</v>
      </c>
      <c r="B615" t="str">
        <f>TRIM([1]Sheet1!AD615)</f>
        <v>Jennifer Phillips</v>
      </c>
      <c r="C615" t="str">
        <f>IF(UPPER(LEFT([1]Sheet1!W615,1))="F","FEMALE","MALE")</f>
        <v>FEMALE</v>
      </c>
      <c r="D615">
        <v>30</v>
      </c>
      <c r="E615" t="s">
        <v>60</v>
      </c>
      <c r="F615" t="s">
        <v>60</v>
      </c>
      <c r="G615" t="s">
        <v>61</v>
      </c>
      <c r="H615" t="s">
        <v>18</v>
      </c>
      <c r="I615" s="1">
        <v>0</v>
      </c>
      <c r="J615" s="1" t="str">
        <f t="shared" si="90"/>
        <v>0-5</v>
      </c>
      <c r="K615" s="1">
        <v>0</v>
      </c>
      <c r="M615" s="1">
        <f t="shared" si="91"/>
        <v>0</v>
      </c>
      <c r="N615" s="1">
        <f t="shared" si="99"/>
        <v>0</v>
      </c>
      <c r="O615" t="s">
        <v>1053</v>
      </c>
    </row>
    <row r="616" spans="1:16" x14ac:dyDescent="0.35">
      <c r="A616" t="s">
        <v>666</v>
      </c>
      <c r="B616" t="str">
        <f>TRIM([1]Sheet1!AD616)</f>
        <v>Dana Sanders</v>
      </c>
      <c r="C616" t="str">
        <f>IF(UPPER(LEFT([1]Sheet1!W616,1))="F","FEMALE","MALE")</f>
        <v>FEMALE</v>
      </c>
      <c r="D616">
        <v>45</v>
      </c>
      <c r="E616" t="s">
        <v>21</v>
      </c>
      <c r="F616" t="s">
        <v>21</v>
      </c>
      <c r="G616" t="s">
        <v>22</v>
      </c>
      <c r="H616" t="s">
        <v>62</v>
      </c>
      <c r="I616" s="1">
        <v>27</v>
      </c>
      <c r="J616" s="1" t="str">
        <f t="shared" si="90"/>
        <v>26-30</v>
      </c>
      <c r="K616" s="1">
        <v>0</v>
      </c>
      <c r="L616" s="1" t="s">
        <v>1063</v>
      </c>
      <c r="M616" s="1" t="str">
        <f t="shared" si="91"/>
        <v>USD 75</v>
      </c>
      <c r="N616" s="1">
        <v>75</v>
      </c>
      <c r="P616" s="4">
        <f>[2]Sheet1!K616</f>
        <v>0.85</v>
      </c>
    </row>
    <row r="617" spans="1:16" x14ac:dyDescent="0.35">
      <c r="A617" t="s">
        <v>667</v>
      </c>
      <c r="B617" t="str">
        <f>TRIM([1]Sheet1!AD617)</f>
        <v>Daniel Quinn</v>
      </c>
      <c r="C617" t="str">
        <f>IF(UPPER(LEFT([1]Sheet1!W617,1))="F","FEMALE","MALE")</f>
        <v>MALE</v>
      </c>
      <c r="D617">
        <v>57</v>
      </c>
      <c r="E617" t="s">
        <v>25</v>
      </c>
      <c r="F617" t="s">
        <v>25</v>
      </c>
      <c r="G617" t="s">
        <v>26</v>
      </c>
      <c r="H617" t="s">
        <v>16</v>
      </c>
      <c r="I617" s="1">
        <v>26</v>
      </c>
      <c r="J617" s="1" t="str">
        <f t="shared" si="90"/>
        <v>26-30</v>
      </c>
      <c r="K617" s="1">
        <v>2.4</v>
      </c>
      <c r="L617" s="1" t="s">
        <v>1062</v>
      </c>
      <c r="M617" s="1" t="str">
        <f t="shared" si="91"/>
        <v>USD 100</v>
      </c>
      <c r="N617" s="1">
        <v>100</v>
      </c>
      <c r="O617" t="s">
        <v>1054</v>
      </c>
      <c r="P617" s="4">
        <f>[2]Sheet1!K617</f>
        <v>0.78</v>
      </c>
    </row>
    <row r="618" spans="1:16" x14ac:dyDescent="0.35">
      <c r="A618" t="s">
        <v>668</v>
      </c>
      <c r="B618" t="str">
        <f>TRIM([1]Sheet1!AD618)</f>
        <v>Matthew Steele</v>
      </c>
      <c r="C618" t="str">
        <f>IF(UPPER(LEFT([1]Sheet1!W618,1))="F","FEMALE","MALE")</f>
        <v>MALE</v>
      </c>
      <c r="D618">
        <v>38</v>
      </c>
      <c r="E618" t="s">
        <v>32</v>
      </c>
      <c r="F618" t="s">
        <v>32</v>
      </c>
      <c r="G618" t="s">
        <v>33</v>
      </c>
      <c r="H618" t="s">
        <v>8</v>
      </c>
      <c r="I618" s="1">
        <v>19</v>
      </c>
      <c r="J618" s="1" t="str">
        <f t="shared" si="90"/>
        <v xml:space="preserve"> 16-20</v>
      </c>
      <c r="K618" s="1">
        <v>0</v>
      </c>
      <c r="L618" s="1">
        <v>40</v>
      </c>
      <c r="M618" s="1">
        <f t="shared" si="91"/>
        <v>40</v>
      </c>
      <c r="N618" s="1">
        <f>M618</f>
        <v>40</v>
      </c>
      <c r="O618" t="s">
        <v>1054</v>
      </c>
      <c r="P618" s="4">
        <f>[2]Sheet1!K618</f>
        <v>0.86</v>
      </c>
    </row>
    <row r="619" spans="1:16" x14ac:dyDescent="0.35">
      <c r="A619" t="s">
        <v>669</v>
      </c>
      <c r="B619" t="str">
        <f>TRIM([1]Sheet1!AD619)</f>
        <v>Michele Taylor</v>
      </c>
      <c r="C619" t="str">
        <f>IF(UPPER(LEFT([1]Sheet1!W619,1))="F","FEMALE","MALE")</f>
        <v>FEMALE</v>
      </c>
      <c r="D619">
        <v>42</v>
      </c>
      <c r="E619" t="s">
        <v>67</v>
      </c>
      <c r="F619" t="s">
        <v>67</v>
      </c>
      <c r="G619" t="s">
        <v>68</v>
      </c>
      <c r="H619" t="s">
        <v>48</v>
      </c>
      <c r="I619" s="1">
        <v>24</v>
      </c>
      <c r="J619" s="1" t="str">
        <f t="shared" si="90"/>
        <v>21- 25</v>
      </c>
      <c r="L619" s="1" t="s">
        <v>1064</v>
      </c>
      <c r="M619" s="1" t="str">
        <f t="shared" si="91"/>
        <v>USD 40</v>
      </c>
      <c r="N619" s="1">
        <v>40</v>
      </c>
      <c r="O619" t="s">
        <v>1053</v>
      </c>
      <c r="P619" s="4">
        <f>[2]Sheet1!K619</f>
        <v>0.88</v>
      </c>
    </row>
    <row r="620" spans="1:16" x14ac:dyDescent="0.35">
      <c r="A620" t="s">
        <v>670</v>
      </c>
      <c r="B620" t="str">
        <f>TRIM([1]Sheet1!AD620)</f>
        <v>Ashley Hammond</v>
      </c>
      <c r="C620" t="str">
        <f>IF(UPPER(LEFT([1]Sheet1!W620,1))="F","FEMALE","MALE")</f>
        <v>FEMALE</v>
      </c>
      <c r="D620">
        <v>30</v>
      </c>
      <c r="E620" t="s">
        <v>85</v>
      </c>
      <c r="F620" t="s">
        <v>85</v>
      </c>
      <c r="G620" t="s">
        <v>86</v>
      </c>
      <c r="H620" t="s">
        <v>48</v>
      </c>
      <c r="I620" s="1">
        <v>7</v>
      </c>
      <c r="J620" s="1" t="str">
        <f t="shared" si="90"/>
        <v>5-10</v>
      </c>
      <c r="K620" s="1">
        <v>3.3</v>
      </c>
      <c r="L620" s="1">
        <v>30</v>
      </c>
      <c r="M620" s="1">
        <f t="shared" si="91"/>
        <v>30</v>
      </c>
      <c r="N620" s="1">
        <f t="shared" ref="N620:N624" si="100">M620</f>
        <v>30</v>
      </c>
      <c r="P620" s="4">
        <f>[2]Sheet1!K620</f>
        <v>0.68</v>
      </c>
    </row>
    <row r="621" spans="1:16" x14ac:dyDescent="0.35">
      <c r="A621" t="s">
        <v>671</v>
      </c>
      <c r="B621" t="str">
        <f>TRIM([1]Sheet1!AD621)</f>
        <v>Nicole Taylor</v>
      </c>
      <c r="C621" t="str">
        <f>IF(UPPER(LEFT([1]Sheet1!W621,1))="F","FEMALE","MALE")</f>
        <v>FEMALE</v>
      </c>
      <c r="D621">
        <v>43</v>
      </c>
      <c r="E621" t="s">
        <v>10</v>
      </c>
      <c r="F621" t="s">
        <v>10</v>
      </c>
      <c r="G621" t="s">
        <v>11</v>
      </c>
      <c r="H621" t="s">
        <v>18</v>
      </c>
      <c r="I621" s="1">
        <v>13</v>
      </c>
      <c r="J621" s="1" t="str">
        <f t="shared" si="90"/>
        <v>11-16</v>
      </c>
      <c r="K621" s="1">
        <v>1.4</v>
      </c>
      <c r="L621" s="2">
        <v>100</v>
      </c>
      <c r="M621" s="1">
        <f t="shared" si="91"/>
        <v>100</v>
      </c>
      <c r="N621" s="1">
        <f t="shared" si="100"/>
        <v>100</v>
      </c>
      <c r="O621" t="s">
        <v>1054</v>
      </c>
      <c r="P621" s="4">
        <f>[2]Sheet1!K621</f>
        <v>0.97</v>
      </c>
    </row>
    <row r="622" spans="1:16" x14ac:dyDescent="0.35">
      <c r="A622" t="s">
        <v>672</v>
      </c>
      <c r="B622" t="str">
        <f>TRIM([1]Sheet1!AD622)</f>
        <v>Casey Bush</v>
      </c>
      <c r="C622" t="str">
        <f>IF(UPPER(LEFT([1]Sheet1!W622,1))="F","FEMALE","MALE")</f>
        <v>MALE</v>
      </c>
      <c r="D622">
        <v>22</v>
      </c>
      <c r="E622" t="s">
        <v>77</v>
      </c>
      <c r="F622" t="s">
        <v>77</v>
      </c>
      <c r="G622" t="s">
        <v>78</v>
      </c>
      <c r="H622" t="s">
        <v>39</v>
      </c>
      <c r="I622" s="1">
        <v>2</v>
      </c>
      <c r="J622" s="1" t="str">
        <f t="shared" si="90"/>
        <v>0-5</v>
      </c>
      <c r="K622" s="1">
        <v>1.7</v>
      </c>
      <c r="L622" s="2">
        <v>75</v>
      </c>
      <c r="M622" s="1">
        <f t="shared" si="91"/>
        <v>75</v>
      </c>
      <c r="N622" s="1">
        <f t="shared" si="100"/>
        <v>75</v>
      </c>
      <c r="O622" t="s">
        <v>1053</v>
      </c>
      <c r="P622" s="4">
        <f>[2]Sheet1!K622</f>
        <v>0.91</v>
      </c>
    </row>
    <row r="623" spans="1:16" x14ac:dyDescent="0.35">
      <c r="A623" t="s">
        <v>673</v>
      </c>
      <c r="B623" t="str">
        <f>TRIM([1]Sheet1!AD623)</f>
        <v>Samuel Patterson</v>
      </c>
      <c r="C623" t="str">
        <f>IF(UPPER(LEFT([1]Sheet1!W623,1))="F","FEMALE","MALE")</f>
        <v>MALE</v>
      </c>
      <c r="D623">
        <v>57</v>
      </c>
      <c r="E623" t="s">
        <v>99</v>
      </c>
      <c r="F623" t="s">
        <v>99</v>
      </c>
      <c r="G623" t="s">
        <v>38</v>
      </c>
      <c r="H623" t="s">
        <v>62</v>
      </c>
      <c r="I623" s="1">
        <v>37</v>
      </c>
      <c r="J623" s="1" t="str">
        <f t="shared" si="90"/>
        <v>31+</v>
      </c>
      <c r="K623" s="1">
        <v>4.8</v>
      </c>
      <c r="L623" s="1">
        <v>30</v>
      </c>
      <c r="M623" s="1">
        <f t="shared" si="91"/>
        <v>30</v>
      </c>
      <c r="N623" s="1">
        <f t="shared" si="100"/>
        <v>30</v>
      </c>
      <c r="O623" t="s">
        <v>1053</v>
      </c>
    </row>
    <row r="624" spans="1:16" x14ac:dyDescent="0.35">
      <c r="A624" t="s">
        <v>674</v>
      </c>
      <c r="B624" t="str">
        <f>TRIM([1]Sheet1!AD624)</f>
        <v>Craig Dennis</v>
      </c>
      <c r="C624" t="str">
        <f>IF(UPPER(LEFT([1]Sheet1!W624,1))="F","FEMALE","MALE")</f>
        <v>MALE</v>
      </c>
      <c r="D624">
        <v>44</v>
      </c>
      <c r="E624" t="s">
        <v>35</v>
      </c>
      <c r="F624" t="s">
        <v>35</v>
      </c>
      <c r="G624" t="s">
        <v>11</v>
      </c>
      <c r="H624" t="s">
        <v>16</v>
      </c>
      <c r="I624" s="1">
        <v>1</v>
      </c>
      <c r="J624" s="1" t="str">
        <f t="shared" si="90"/>
        <v>0-5</v>
      </c>
      <c r="K624" s="1">
        <v>4.8</v>
      </c>
      <c r="M624" s="1">
        <f t="shared" si="91"/>
        <v>0</v>
      </c>
      <c r="N624" s="1">
        <f t="shared" si="100"/>
        <v>0</v>
      </c>
      <c r="O624" t="s">
        <v>1053</v>
      </c>
      <c r="P624" s="4">
        <f>[2]Sheet1!K624</f>
        <v>0.97</v>
      </c>
    </row>
    <row r="625" spans="1:16" x14ac:dyDescent="0.35">
      <c r="A625" t="s">
        <v>675</v>
      </c>
      <c r="B625" t="str">
        <f>TRIM([1]Sheet1!AD625)</f>
        <v>Heidi Dixon</v>
      </c>
      <c r="C625" t="str">
        <f>IF(UPPER(LEFT([1]Sheet1!W625,1))="F","FEMALE","MALE")</f>
        <v>FEMALE</v>
      </c>
      <c r="D625">
        <v>46</v>
      </c>
      <c r="E625" t="s">
        <v>96</v>
      </c>
      <c r="F625" t="s">
        <v>96</v>
      </c>
      <c r="G625" t="s">
        <v>97</v>
      </c>
      <c r="H625" t="s">
        <v>48</v>
      </c>
      <c r="I625" s="1">
        <v>5</v>
      </c>
      <c r="J625" s="1" t="str">
        <f t="shared" si="90"/>
        <v>0-5</v>
      </c>
      <c r="K625" s="1">
        <v>2</v>
      </c>
      <c r="L625" s="1" t="s">
        <v>1066</v>
      </c>
      <c r="M625" s="1" t="str">
        <f t="shared" si="91"/>
        <v>USD 30</v>
      </c>
      <c r="N625" s="1">
        <v>30</v>
      </c>
      <c r="O625" t="s">
        <v>1054</v>
      </c>
      <c r="P625" s="4">
        <f>[2]Sheet1!K625</f>
        <v>0.64</v>
      </c>
    </row>
    <row r="626" spans="1:16" x14ac:dyDescent="0.35">
      <c r="A626" t="s">
        <v>676</v>
      </c>
      <c r="B626" t="str">
        <f>TRIM([1]Sheet1!AD626)</f>
        <v>David Bishop</v>
      </c>
      <c r="C626" t="str">
        <f>IF(UPPER(LEFT([1]Sheet1!W626,1))="F","FEMALE","MALE")</f>
        <v>MALE</v>
      </c>
      <c r="E626" t="s">
        <v>105</v>
      </c>
      <c r="F626" t="s">
        <v>105</v>
      </c>
      <c r="G626" t="s">
        <v>38</v>
      </c>
      <c r="H626" t="s">
        <v>8</v>
      </c>
      <c r="I626" s="1">
        <v>1</v>
      </c>
      <c r="J626" s="1" t="str">
        <f t="shared" si="90"/>
        <v>0-5</v>
      </c>
      <c r="K626" s="1">
        <v>2.8</v>
      </c>
      <c r="L626" s="1" t="s">
        <v>1065</v>
      </c>
      <c r="M626" s="1" t="str">
        <f t="shared" si="91"/>
        <v>USD 50</v>
      </c>
      <c r="N626" s="1">
        <v>50</v>
      </c>
      <c r="O626" t="s">
        <v>1053</v>
      </c>
      <c r="P626" s="4">
        <f>[2]Sheet1!K626</f>
        <v>0.87</v>
      </c>
    </row>
    <row r="627" spans="1:16" x14ac:dyDescent="0.35">
      <c r="A627" t="s">
        <v>677</v>
      </c>
      <c r="B627" t="str">
        <f>TRIM([1]Sheet1!AD627)</f>
        <v>Laura Butler</v>
      </c>
      <c r="C627" t="str">
        <f>IF(UPPER(LEFT([1]Sheet1!W627,1))="F","FEMALE","MALE")</f>
        <v>FEMALE</v>
      </c>
      <c r="D627">
        <v>34</v>
      </c>
      <c r="E627" t="s">
        <v>10</v>
      </c>
      <c r="F627" t="s">
        <v>10</v>
      </c>
      <c r="G627" t="s">
        <v>11</v>
      </c>
      <c r="H627" t="s">
        <v>27</v>
      </c>
      <c r="I627" s="1">
        <v>2</v>
      </c>
      <c r="J627" s="1" t="str">
        <f t="shared" si="90"/>
        <v>0-5</v>
      </c>
      <c r="K627" s="1">
        <v>0</v>
      </c>
      <c r="L627" s="1">
        <v>100</v>
      </c>
      <c r="M627" s="1">
        <f t="shared" si="91"/>
        <v>100</v>
      </c>
      <c r="N627" s="1">
        <f t="shared" ref="N627:N628" si="101">M627</f>
        <v>100</v>
      </c>
      <c r="O627" t="s">
        <v>1053</v>
      </c>
      <c r="P627" s="3">
        <f>[2]Sheet1!K627/100</f>
        <v>0.86</v>
      </c>
    </row>
    <row r="628" spans="1:16" x14ac:dyDescent="0.35">
      <c r="A628" t="s">
        <v>678</v>
      </c>
      <c r="B628" t="str">
        <f>TRIM([1]Sheet1!AD628)</f>
        <v>Denise Erickson</v>
      </c>
      <c r="C628" t="str">
        <f>IF(UPPER(LEFT([1]Sheet1!W628,1))="F","FEMALE","MALE")</f>
        <v>FEMALE</v>
      </c>
      <c r="D628">
        <v>46</v>
      </c>
      <c r="E628" t="s">
        <v>6</v>
      </c>
      <c r="F628" t="s">
        <v>6</v>
      </c>
      <c r="G628" t="s">
        <v>7</v>
      </c>
      <c r="H628" t="s">
        <v>12</v>
      </c>
      <c r="J628" s="1" t="str">
        <f t="shared" si="90"/>
        <v>0-5</v>
      </c>
      <c r="K628" s="1">
        <v>4.4000000000000004</v>
      </c>
      <c r="L628" s="2">
        <v>100</v>
      </c>
      <c r="M628" s="1">
        <f t="shared" si="91"/>
        <v>100</v>
      </c>
      <c r="N628" s="1">
        <f t="shared" si="101"/>
        <v>100</v>
      </c>
      <c r="O628" t="s">
        <v>1054</v>
      </c>
      <c r="P628" s="3">
        <f>[2]Sheet1!K628/100</f>
        <v>0.97</v>
      </c>
    </row>
    <row r="629" spans="1:16" x14ac:dyDescent="0.35">
      <c r="A629" t="s">
        <v>679</v>
      </c>
      <c r="B629" t="str">
        <f>TRIM([1]Sheet1!AD629)</f>
        <v>Nicole Austin</v>
      </c>
      <c r="C629" t="str">
        <f>IF(UPPER(LEFT([1]Sheet1!W629,1))="F","FEMALE","MALE")</f>
        <v>FEMALE</v>
      </c>
      <c r="D629">
        <v>22</v>
      </c>
      <c r="E629" t="s">
        <v>74</v>
      </c>
      <c r="F629" t="s">
        <v>74</v>
      </c>
      <c r="G629" t="s">
        <v>75</v>
      </c>
      <c r="H629" t="s">
        <v>8</v>
      </c>
      <c r="I629" s="1">
        <v>0</v>
      </c>
      <c r="J629" s="1" t="str">
        <f t="shared" si="90"/>
        <v>0-5</v>
      </c>
      <c r="K629" s="1">
        <v>4.9000000000000004</v>
      </c>
      <c r="L629" s="1" t="s">
        <v>1066</v>
      </c>
      <c r="M629" s="1" t="str">
        <f t="shared" si="91"/>
        <v>USD 30</v>
      </c>
      <c r="N629" s="1">
        <v>30</v>
      </c>
      <c r="O629" t="s">
        <v>1053</v>
      </c>
      <c r="P629" s="4">
        <f>[2]Sheet1!K629</f>
        <v>0.73</v>
      </c>
    </row>
    <row r="630" spans="1:16" x14ac:dyDescent="0.35">
      <c r="A630" t="s">
        <v>680</v>
      </c>
      <c r="B630" t="str">
        <f>TRIM([1]Sheet1!AD630)</f>
        <v>Summer Williams</v>
      </c>
      <c r="C630" t="str">
        <f>IF(UPPER(LEFT([1]Sheet1!W630,1))="F","FEMALE","MALE")</f>
        <v>FEMALE</v>
      </c>
      <c r="D630">
        <v>23</v>
      </c>
      <c r="E630" t="s">
        <v>85</v>
      </c>
      <c r="F630" t="s">
        <v>85</v>
      </c>
      <c r="G630" t="s">
        <v>86</v>
      </c>
      <c r="H630" t="s">
        <v>23</v>
      </c>
      <c r="I630" s="1">
        <v>0</v>
      </c>
      <c r="J630" s="1" t="str">
        <f t="shared" si="90"/>
        <v>0-5</v>
      </c>
      <c r="K630" s="1">
        <v>2.2999999999999998</v>
      </c>
      <c r="L630" s="1" t="s">
        <v>1063</v>
      </c>
      <c r="M630" s="1" t="str">
        <f t="shared" si="91"/>
        <v>USD 75</v>
      </c>
      <c r="N630" s="1">
        <v>75</v>
      </c>
      <c r="P630" s="4">
        <f>[2]Sheet1!K630</f>
        <v>0.6</v>
      </c>
    </row>
    <row r="631" spans="1:16" x14ac:dyDescent="0.35">
      <c r="A631" t="s">
        <v>681</v>
      </c>
      <c r="B631" t="str">
        <f>TRIM([1]Sheet1!AD631)</f>
        <v>Angela Blackwell</v>
      </c>
      <c r="C631" t="str">
        <f>IF(UPPER(LEFT([1]Sheet1!W631,1))="F","FEMALE","MALE")</f>
        <v>FEMALE</v>
      </c>
      <c r="D631">
        <v>60</v>
      </c>
      <c r="E631" t="s">
        <v>32</v>
      </c>
      <c r="F631" t="s">
        <v>32</v>
      </c>
      <c r="G631" t="s">
        <v>33</v>
      </c>
      <c r="H631" t="s">
        <v>18</v>
      </c>
      <c r="I631" s="1">
        <v>41</v>
      </c>
      <c r="J631" s="1" t="str">
        <f t="shared" si="90"/>
        <v>31+</v>
      </c>
      <c r="K631" s="1">
        <v>4.9000000000000004</v>
      </c>
      <c r="L631" s="2">
        <v>40</v>
      </c>
      <c r="M631" s="1">
        <f t="shared" si="91"/>
        <v>40</v>
      </c>
      <c r="N631" s="1">
        <f t="shared" ref="N631:N639" si="102">M631</f>
        <v>40</v>
      </c>
      <c r="O631" t="s">
        <v>1054</v>
      </c>
      <c r="P631" s="3">
        <f>[2]Sheet1!K631/100</f>
        <v>0.66</v>
      </c>
    </row>
    <row r="632" spans="1:16" x14ac:dyDescent="0.35">
      <c r="A632" t="s">
        <v>682</v>
      </c>
      <c r="B632" t="str">
        <f>TRIM([1]Sheet1!AD632)</f>
        <v>Thomas Wall</v>
      </c>
      <c r="C632" t="str">
        <f>IF(UPPER(LEFT([1]Sheet1!W632,1))="F","FEMALE","MALE")</f>
        <v>MALE</v>
      </c>
      <c r="D632">
        <v>20</v>
      </c>
      <c r="E632" t="s">
        <v>70</v>
      </c>
      <c r="F632" t="s">
        <v>70</v>
      </c>
      <c r="G632" t="s">
        <v>11</v>
      </c>
      <c r="H632" t="s">
        <v>48</v>
      </c>
      <c r="J632" s="1" t="str">
        <f t="shared" si="90"/>
        <v>0-5</v>
      </c>
      <c r="K632" s="1">
        <v>4.3</v>
      </c>
      <c r="L632" s="2">
        <v>75</v>
      </c>
      <c r="M632" s="1">
        <f t="shared" si="91"/>
        <v>75</v>
      </c>
      <c r="N632" s="1">
        <f t="shared" si="102"/>
        <v>75</v>
      </c>
      <c r="O632" t="s">
        <v>1053</v>
      </c>
      <c r="P632" s="4">
        <f>[2]Sheet1!K632</f>
        <v>0.9</v>
      </c>
    </row>
    <row r="633" spans="1:16" x14ac:dyDescent="0.35">
      <c r="A633" t="s">
        <v>683</v>
      </c>
      <c r="B633" t="str">
        <f>TRIM([1]Sheet1!AD633)</f>
        <v>Sarah Anderson</v>
      </c>
      <c r="C633" t="str">
        <f>IF(UPPER(LEFT([1]Sheet1!W633,1))="F","FEMALE","MALE")</f>
        <v>FEMALE</v>
      </c>
      <c r="D633">
        <v>41</v>
      </c>
      <c r="E633" t="s">
        <v>60</v>
      </c>
      <c r="F633" t="s">
        <v>60</v>
      </c>
      <c r="G633" t="s">
        <v>61</v>
      </c>
      <c r="H633" t="s">
        <v>39</v>
      </c>
      <c r="I633" s="1">
        <v>23</v>
      </c>
      <c r="J633" s="1" t="str">
        <f t="shared" si="90"/>
        <v>21- 25</v>
      </c>
      <c r="K633" s="1">
        <v>1.4</v>
      </c>
      <c r="L633" s="2">
        <v>75</v>
      </c>
      <c r="M633" s="1">
        <f t="shared" si="91"/>
        <v>75</v>
      </c>
      <c r="N633" s="1">
        <f t="shared" si="102"/>
        <v>75</v>
      </c>
      <c r="O633" t="s">
        <v>1053</v>
      </c>
    </row>
    <row r="634" spans="1:16" x14ac:dyDescent="0.35">
      <c r="A634" t="s">
        <v>684</v>
      </c>
      <c r="B634" t="str">
        <f>TRIM([1]Sheet1!AD634)</f>
        <v>Christian Lane</v>
      </c>
      <c r="C634" t="str">
        <f>IF(UPPER(LEFT([1]Sheet1!W634,1))="F","FEMALE","MALE")</f>
        <v>MALE</v>
      </c>
      <c r="D634">
        <v>24</v>
      </c>
      <c r="E634" t="s">
        <v>74</v>
      </c>
      <c r="F634" t="s">
        <v>74</v>
      </c>
      <c r="G634" t="s">
        <v>75</v>
      </c>
      <c r="H634" t="s">
        <v>12</v>
      </c>
      <c r="I634" s="1">
        <v>0</v>
      </c>
      <c r="J634" s="1" t="str">
        <f t="shared" si="90"/>
        <v>0-5</v>
      </c>
      <c r="L634" s="1">
        <v>100</v>
      </c>
      <c r="M634" s="1">
        <f t="shared" si="91"/>
        <v>100</v>
      </c>
      <c r="N634" s="1">
        <f t="shared" si="102"/>
        <v>100</v>
      </c>
      <c r="O634" t="s">
        <v>1053</v>
      </c>
    </row>
    <row r="635" spans="1:16" x14ac:dyDescent="0.35">
      <c r="A635" t="s">
        <v>685</v>
      </c>
      <c r="B635" t="str">
        <f>TRIM([1]Sheet1!AD635)</f>
        <v>Todd Casey</v>
      </c>
      <c r="C635" t="str">
        <f>IF(UPPER(LEFT([1]Sheet1!W635,1))="F","FEMALE","MALE")</f>
        <v>MALE</v>
      </c>
      <c r="D635">
        <v>44</v>
      </c>
      <c r="E635" t="s">
        <v>21</v>
      </c>
      <c r="F635" t="s">
        <v>21</v>
      </c>
      <c r="G635" t="s">
        <v>22</v>
      </c>
      <c r="H635" t="s">
        <v>62</v>
      </c>
      <c r="I635" s="1">
        <v>4</v>
      </c>
      <c r="J635" s="1" t="str">
        <f t="shared" si="90"/>
        <v>0-5</v>
      </c>
      <c r="K635" s="1">
        <v>1.3</v>
      </c>
      <c r="M635" s="1">
        <f t="shared" si="91"/>
        <v>0</v>
      </c>
      <c r="N635" s="1">
        <f t="shared" si="102"/>
        <v>0</v>
      </c>
      <c r="O635" t="s">
        <v>1054</v>
      </c>
      <c r="P635" s="3">
        <f>[2]Sheet1!K635/100</f>
        <v>0.77</v>
      </c>
    </row>
    <row r="636" spans="1:16" x14ac:dyDescent="0.35">
      <c r="A636" t="s">
        <v>686</v>
      </c>
      <c r="B636" t="str">
        <f>TRIM([1]Sheet1!AD636)</f>
        <v>David Martinez</v>
      </c>
      <c r="C636" t="str">
        <f>IF(UPPER(LEFT([1]Sheet1!W636,1))="F","FEMALE","MALE")</f>
        <v>MALE</v>
      </c>
      <c r="D636">
        <v>52</v>
      </c>
      <c r="E636" t="s">
        <v>96</v>
      </c>
      <c r="F636" t="s">
        <v>96</v>
      </c>
      <c r="G636" t="s">
        <v>97</v>
      </c>
      <c r="H636" t="s">
        <v>39</v>
      </c>
      <c r="I636" s="1">
        <v>4</v>
      </c>
      <c r="J636" s="1" t="str">
        <f t="shared" si="90"/>
        <v>0-5</v>
      </c>
      <c r="K636" s="1">
        <v>2.2999999999999998</v>
      </c>
      <c r="L636" s="1">
        <v>75</v>
      </c>
      <c r="M636" s="1">
        <f t="shared" si="91"/>
        <v>75</v>
      </c>
      <c r="N636" s="1">
        <f t="shared" si="102"/>
        <v>75</v>
      </c>
      <c r="O636" t="s">
        <v>1054</v>
      </c>
      <c r="P636" s="4">
        <f>[2]Sheet1!K636</f>
        <v>0.79</v>
      </c>
    </row>
    <row r="637" spans="1:16" x14ac:dyDescent="0.35">
      <c r="A637" t="s">
        <v>687</v>
      </c>
      <c r="B637" t="str">
        <f>TRIM([1]Sheet1!AD637)</f>
        <v>Donald Salas</v>
      </c>
      <c r="C637" t="str">
        <f>IF(UPPER(LEFT([1]Sheet1!W637,1))="F","FEMALE","MALE")</f>
        <v>MALE</v>
      </c>
      <c r="D637">
        <v>35</v>
      </c>
      <c r="E637" t="s">
        <v>105</v>
      </c>
      <c r="F637" t="s">
        <v>105</v>
      </c>
      <c r="G637" t="s">
        <v>38</v>
      </c>
      <c r="H637" t="s">
        <v>62</v>
      </c>
      <c r="I637" s="1">
        <v>13</v>
      </c>
      <c r="J637" s="1" t="str">
        <f t="shared" si="90"/>
        <v>11-16</v>
      </c>
      <c r="K637" s="1">
        <v>3.6</v>
      </c>
      <c r="L637" s="1">
        <v>40</v>
      </c>
      <c r="M637" s="1">
        <f t="shared" si="91"/>
        <v>40</v>
      </c>
      <c r="N637" s="1">
        <f t="shared" si="102"/>
        <v>40</v>
      </c>
      <c r="O637" t="s">
        <v>1053</v>
      </c>
      <c r="P637" s="4">
        <f>[2]Sheet1!K637</f>
        <v>0.83</v>
      </c>
    </row>
    <row r="638" spans="1:16" x14ac:dyDescent="0.35">
      <c r="A638" t="s">
        <v>688</v>
      </c>
      <c r="B638" t="str">
        <f>TRIM([1]Sheet1!AD638)</f>
        <v>Emma Hicks</v>
      </c>
      <c r="C638" t="str">
        <f>IF(UPPER(LEFT([1]Sheet1!W638,1))="F","FEMALE","MALE")</f>
        <v>FEMALE</v>
      </c>
      <c r="D638">
        <v>24</v>
      </c>
      <c r="E638" t="s">
        <v>21</v>
      </c>
      <c r="F638" t="s">
        <v>21</v>
      </c>
      <c r="G638" t="s">
        <v>22</v>
      </c>
      <c r="H638" t="s">
        <v>48</v>
      </c>
      <c r="I638" s="1">
        <v>2</v>
      </c>
      <c r="J638" s="1" t="str">
        <f t="shared" si="90"/>
        <v>0-5</v>
      </c>
      <c r="L638" s="2">
        <v>50</v>
      </c>
      <c r="M638" s="1">
        <f t="shared" si="91"/>
        <v>50</v>
      </c>
      <c r="N638" s="1">
        <f t="shared" si="102"/>
        <v>50</v>
      </c>
      <c r="O638" t="s">
        <v>1053</v>
      </c>
      <c r="P638" s="4">
        <f>[2]Sheet1!K638</f>
        <v>0.64</v>
      </c>
    </row>
    <row r="639" spans="1:16" x14ac:dyDescent="0.35">
      <c r="A639" t="s">
        <v>689</v>
      </c>
      <c r="B639" t="str">
        <f>TRIM([1]Sheet1!AD639)</f>
        <v>Alison Clark</v>
      </c>
      <c r="C639" t="str">
        <f>IF(UPPER(LEFT([1]Sheet1!W639,1))="F","FEMALE","MALE")</f>
        <v>FEMALE</v>
      </c>
      <c r="D639">
        <v>46</v>
      </c>
      <c r="E639" t="s">
        <v>10</v>
      </c>
      <c r="F639" t="s">
        <v>10</v>
      </c>
      <c r="G639" t="s">
        <v>11</v>
      </c>
      <c r="H639" t="s">
        <v>41</v>
      </c>
      <c r="I639" s="1">
        <v>25</v>
      </c>
      <c r="J639" s="1" t="str">
        <f t="shared" si="90"/>
        <v>21- 25</v>
      </c>
      <c r="K639" s="1">
        <v>1.3</v>
      </c>
      <c r="L639" s="2">
        <v>100</v>
      </c>
      <c r="M639" s="1">
        <f t="shared" si="91"/>
        <v>100</v>
      </c>
      <c r="N639" s="1">
        <f t="shared" si="102"/>
        <v>100</v>
      </c>
      <c r="O639" t="s">
        <v>1053</v>
      </c>
      <c r="P639" s="4">
        <f>[2]Sheet1!K639</f>
        <v>0.8</v>
      </c>
    </row>
    <row r="640" spans="1:16" x14ac:dyDescent="0.35">
      <c r="A640" t="s">
        <v>690</v>
      </c>
      <c r="B640" t="str">
        <f>TRIM([1]Sheet1!AD640)</f>
        <v>Andrew Barnes</v>
      </c>
      <c r="C640" t="str">
        <f>IF(UPPER(LEFT([1]Sheet1!W640,1))="F","FEMALE","MALE")</f>
        <v>MALE</v>
      </c>
      <c r="D640">
        <v>57</v>
      </c>
      <c r="E640" t="s">
        <v>99</v>
      </c>
      <c r="F640" t="s">
        <v>99</v>
      </c>
      <c r="G640" t="s">
        <v>38</v>
      </c>
      <c r="H640" t="s">
        <v>12</v>
      </c>
      <c r="I640" s="1">
        <v>18</v>
      </c>
      <c r="J640" s="1" t="str">
        <f t="shared" si="90"/>
        <v xml:space="preserve"> 16-20</v>
      </c>
      <c r="K640" s="1">
        <v>1.1000000000000001</v>
      </c>
      <c r="L640" s="1" t="s">
        <v>1066</v>
      </c>
      <c r="M640" s="1" t="str">
        <f t="shared" si="91"/>
        <v>USD 30</v>
      </c>
      <c r="N640" s="1">
        <v>30</v>
      </c>
      <c r="O640" t="s">
        <v>1053</v>
      </c>
      <c r="P640" s="4">
        <f>[2]Sheet1!K640</f>
        <v>0.9</v>
      </c>
    </row>
    <row r="641" spans="1:16" x14ac:dyDescent="0.35">
      <c r="A641" t="s">
        <v>691</v>
      </c>
      <c r="B641" t="str">
        <f>TRIM([1]Sheet1!AD641)</f>
        <v>Gina Snyder</v>
      </c>
      <c r="C641" t="str">
        <f>IF(UPPER(LEFT([1]Sheet1!W641,1))="F","FEMALE","MALE")</f>
        <v>FEMALE</v>
      </c>
      <c r="D641">
        <v>49</v>
      </c>
      <c r="E641" t="s">
        <v>99</v>
      </c>
      <c r="F641" t="s">
        <v>99</v>
      </c>
      <c r="G641" t="s">
        <v>38</v>
      </c>
      <c r="H641" t="s">
        <v>18</v>
      </c>
      <c r="I641" s="1">
        <v>24</v>
      </c>
      <c r="J641" s="1" t="str">
        <f t="shared" si="90"/>
        <v>21- 25</v>
      </c>
      <c r="K641" s="1">
        <v>0</v>
      </c>
      <c r="L641" s="2">
        <v>50</v>
      </c>
      <c r="M641" s="1">
        <f t="shared" si="91"/>
        <v>50</v>
      </c>
      <c r="N641" s="1">
        <f t="shared" ref="N641:N642" si="103">M641</f>
        <v>50</v>
      </c>
      <c r="O641" t="s">
        <v>1053</v>
      </c>
      <c r="P641" s="4">
        <f>[2]Sheet1!K641</f>
        <v>0.94</v>
      </c>
    </row>
    <row r="642" spans="1:16" x14ac:dyDescent="0.35">
      <c r="A642" t="s">
        <v>692</v>
      </c>
      <c r="B642" t="str">
        <f>TRIM([1]Sheet1!AD642)</f>
        <v>David Watson</v>
      </c>
      <c r="C642" t="str">
        <f>IF(UPPER(LEFT([1]Sheet1!W642,1))="F","FEMALE","MALE")</f>
        <v>MALE</v>
      </c>
      <c r="D642">
        <v>41</v>
      </c>
      <c r="E642" t="s">
        <v>45</v>
      </c>
      <c r="F642" t="s">
        <v>45</v>
      </c>
      <c r="G642" t="s">
        <v>46</v>
      </c>
      <c r="H642" t="s">
        <v>23</v>
      </c>
      <c r="I642" s="1">
        <v>7</v>
      </c>
      <c r="J642" s="1" t="str">
        <f t="shared" ref="J642:J705" si="104">_xlfn.IFS(I642&lt;=5,"0-5",I642&lt;=10,"5-10",I642&lt;=16,"11-16",I642&lt;=20," 16-20",I642&lt;=25,"21- 25",I642&lt;=30,"26-30",I642&gt;30,"31+")</f>
        <v>5-10</v>
      </c>
      <c r="K642" s="1">
        <v>1.8</v>
      </c>
      <c r="L642" s="1">
        <v>40</v>
      </c>
      <c r="M642" s="1">
        <f t="shared" si="91"/>
        <v>40</v>
      </c>
      <c r="N642" s="1">
        <f t="shared" si="103"/>
        <v>40</v>
      </c>
      <c r="O642" t="s">
        <v>1053</v>
      </c>
      <c r="P642" s="4">
        <f>[2]Sheet1!K642</f>
        <v>0.7</v>
      </c>
    </row>
    <row r="643" spans="1:16" x14ac:dyDescent="0.35">
      <c r="A643" t="s">
        <v>693</v>
      </c>
      <c r="B643" t="str">
        <f>TRIM([1]Sheet1!AD643)</f>
        <v>John Davis</v>
      </c>
      <c r="C643" t="str">
        <f>IF(UPPER(LEFT([1]Sheet1!W643,1))="F","FEMALE","MALE")</f>
        <v>MALE</v>
      </c>
      <c r="D643">
        <v>22</v>
      </c>
      <c r="E643" t="s">
        <v>99</v>
      </c>
      <c r="F643" t="s">
        <v>99</v>
      </c>
      <c r="G643" t="s">
        <v>38</v>
      </c>
      <c r="H643" t="s">
        <v>62</v>
      </c>
      <c r="I643" s="1">
        <v>1</v>
      </c>
      <c r="J643" s="1" t="str">
        <f t="shared" si="104"/>
        <v>0-5</v>
      </c>
      <c r="L643" s="1" t="s">
        <v>1067</v>
      </c>
      <c r="M643" s="1" t="str">
        <f t="shared" ref="M643:M706" si="105">L643</f>
        <v>USD 20</v>
      </c>
      <c r="N643" s="1">
        <v>20</v>
      </c>
      <c r="O643" t="s">
        <v>1054</v>
      </c>
      <c r="P643" s="4">
        <f>[2]Sheet1!K643</f>
        <v>0.75</v>
      </c>
    </row>
    <row r="644" spans="1:16" x14ac:dyDescent="0.35">
      <c r="A644" t="s">
        <v>694</v>
      </c>
      <c r="B644" t="str">
        <f>TRIM([1]Sheet1!AD644)</f>
        <v>Joseph Thomas</v>
      </c>
      <c r="C644" t="str">
        <f>IF(UPPER(LEFT([1]Sheet1!W644,1))="F","FEMALE","MALE")</f>
        <v>MALE</v>
      </c>
      <c r="D644">
        <v>50</v>
      </c>
      <c r="E644" t="s">
        <v>10</v>
      </c>
      <c r="F644" t="s">
        <v>10</v>
      </c>
      <c r="G644" t="s">
        <v>11</v>
      </c>
      <c r="H644" t="s">
        <v>8</v>
      </c>
      <c r="I644" s="1">
        <v>17</v>
      </c>
      <c r="J644" s="1" t="str">
        <f t="shared" si="104"/>
        <v xml:space="preserve"> 16-20</v>
      </c>
      <c r="K644" s="1">
        <v>3.3</v>
      </c>
      <c r="L644" s="1">
        <v>75</v>
      </c>
      <c r="M644" s="1">
        <f t="shared" si="105"/>
        <v>75</v>
      </c>
      <c r="N644" s="1">
        <f>M644</f>
        <v>75</v>
      </c>
      <c r="O644" t="s">
        <v>1054</v>
      </c>
      <c r="P644" s="4">
        <f>[2]Sheet1!K644</f>
        <v>0.69</v>
      </c>
    </row>
    <row r="645" spans="1:16" x14ac:dyDescent="0.35">
      <c r="A645" t="s">
        <v>695</v>
      </c>
      <c r="B645" t="str">
        <f>TRIM([1]Sheet1!AD645)</f>
        <v>Dean Finley</v>
      </c>
      <c r="C645" t="str">
        <f>IF(UPPER(LEFT([1]Sheet1!W645,1))="F","FEMALE","MALE")</f>
        <v>MALE</v>
      </c>
      <c r="D645">
        <v>57</v>
      </c>
      <c r="E645" t="s">
        <v>14</v>
      </c>
      <c r="F645" t="s">
        <v>14</v>
      </c>
      <c r="G645" t="s">
        <v>15</v>
      </c>
      <c r="H645" t="s">
        <v>16</v>
      </c>
      <c r="I645" s="1">
        <v>4</v>
      </c>
      <c r="J645" s="1" t="str">
        <f t="shared" si="104"/>
        <v>0-5</v>
      </c>
      <c r="K645" s="1">
        <v>4.2</v>
      </c>
      <c r="L645" s="1" t="s">
        <v>1066</v>
      </c>
      <c r="M645" s="1" t="str">
        <f t="shared" si="105"/>
        <v>USD 30</v>
      </c>
      <c r="N645" s="1">
        <v>30</v>
      </c>
      <c r="O645" t="s">
        <v>1053</v>
      </c>
    </row>
    <row r="646" spans="1:16" x14ac:dyDescent="0.35">
      <c r="A646" t="s">
        <v>696</v>
      </c>
      <c r="B646" t="str">
        <f>TRIM([1]Sheet1!AD646)</f>
        <v>Ashley Kemp</v>
      </c>
      <c r="C646" t="str">
        <f>IF(UPPER(LEFT([1]Sheet1!W646,1))="F","FEMALE","MALE")</f>
        <v>FEMALE</v>
      </c>
      <c r="D646">
        <v>47</v>
      </c>
      <c r="E646" t="s">
        <v>99</v>
      </c>
      <c r="F646" t="s">
        <v>99</v>
      </c>
      <c r="G646" t="s">
        <v>38</v>
      </c>
      <c r="H646" t="s">
        <v>23</v>
      </c>
      <c r="I646" s="1">
        <v>29</v>
      </c>
      <c r="J646" s="1" t="str">
        <f t="shared" si="104"/>
        <v>26-30</v>
      </c>
      <c r="L646" s="2">
        <v>50</v>
      </c>
      <c r="M646" s="1">
        <f t="shared" si="105"/>
        <v>50</v>
      </c>
      <c r="N646" s="1">
        <f t="shared" ref="N646:N652" si="106">M646</f>
        <v>50</v>
      </c>
      <c r="O646" t="s">
        <v>1054</v>
      </c>
      <c r="P646" s="4">
        <f>[2]Sheet1!K646</f>
        <v>0.79</v>
      </c>
    </row>
    <row r="647" spans="1:16" x14ac:dyDescent="0.35">
      <c r="A647" t="s">
        <v>697</v>
      </c>
      <c r="B647" t="str">
        <f>TRIM([1]Sheet1!AD647)</f>
        <v>Kenneth Evans</v>
      </c>
      <c r="C647" t="str">
        <f>IF(UPPER(LEFT([1]Sheet1!W647,1))="F","FEMALE","MALE")</f>
        <v>MALE</v>
      </c>
      <c r="D647">
        <v>24</v>
      </c>
      <c r="E647" t="s">
        <v>85</v>
      </c>
      <c r="F647" t="s">
        <v>85</v>
      </c>
      <c r="G647" t="s">
        <v>86</v>
      </c>
      <c r="H647" t="s">
        <v>27</v>
      </c>
      <c r="I647" s="1">
        <v>2</v>
      </c>
      <c r="J647" s="1" t="str">
        <f t="shared" si="104"/>
        <v>0-5</v>
      </c>
      <c r="K647" s="1">
        <v>3.8</v>
      </c>
      <c r="L647" s="2">
        <v>100</v>
      </c>
      <c r="M647" s="1">
        <f t="shared" si="105"/>
        <v>100</v>
      </c>
      <c r="N647" s="1">
        <f t="shared" si="106"/>
        <v>100</v>
      </c>
      <c r="O647" t="s">
        <v>1054</v>
      </c>
      <c r="P647" s="4">
        <f>[2]Sheet1!K647</f>
        <v>0.71</v>
      </c>
    </row>
    <row r="648" spans="1:16" x14ac:dyDescent="0.35">
      <c r="A648" t="s">
        <v>698</v>
      </c>
      <c r="B648" t="str">
        <f>TRIM([1]Sheet1!AD648)</f>
        <v>Brandon Newman</v>
      </c>
      <c r="C648" t="str">
        <f>IF(UPPER(LEFT([1]Sheet1!W648,1))="F","FEMALE","MALE")</f>
        <v>MALE</v>
      </c>
      <c r="E648" t="s">
        <v>50</v>
      </c>
      <c r="F648" t="s">
        <v>50</v>
      </c>
      <c r="G648" t="s">
        <v>51</v>
      </c>
      <c r="H648" t="s">
        <v>41</v>
      </c>
      <c r="I648" s="1">
        <v>9</v>
      </c>
      <c r="J648" s="1" t="str">
        <f t="shared" si="104"/>
        <v>5-10</v>
      </c>
      <c r="K648" s="1">
        <v>4.8</v>
      </c>
      <c r="L648" s="1">
        <v>100</v>
      </c>
      <c r="M648" s="1">
        <f t="shared" si="105"/>
        <v>100</v>
      </c>
      <c r="N648" s="1">
        <f t="shared" si="106"/>
        <v>100</v>
      </c>
      <c r="O648" t="s">
        <v>1054</v>
      </c>
      <c r="P648" s="4">
        <f>[2]Sheet1!K648</f>
        <v>0.72</v>
      </c>
    </row>
    <row r="649" spans="1:16" x14ac:dyDescent="0.35">
      <c r="A649" t="s">
        <v>699</v>
      </c>
      <c r="B649" t="str">
        <f>TRIM([1]Sheet1!AD649)</f>
        <v>Katie Hensley</v>
      </c>
      <c r="C649" t="str">
        <f>IF(UPPER(LEFT([1]Sheet1!W649,1))="F","FEMALE","MALE")</f>
        <v>FEMALE</v>
      </c>
      <c r="D649">
        <v>50</v>
      </c>
      <c r="E649" t="s">
        <v>14</v>
      </c>
      <c r="F649" t="s">
        <v>14</v>
      </c>
      <c r="G649" t="s">
        <v>15</v>
      </c>
      <c r="H649" t="s">
        <v>48</v>
      </c>
      <c r="I649" s="1">
        <v>10</v>
      </c>
      <c r="J649" s="1" t="str">
        <f t="shared" si="104"/>
        <v>5-10</v>
      </c>
      <c r="K649" s="1">
        <v>4.3</v>
      </c>
      <c r="L649" s="2">
        <v>100</v>
      </c>
      <c r="M649" s="1">
        <f t="shared" si="105"/>
        <v>100</v>
      </c>
      <c r="N649" s="1">
        <f t="shared" si="106"/>
        <v>100</v>
      </c>
      <c r="O649" t="s">
        <v>1053</v>
      </c>
      <c r="P649" s="4">
        <f>[2]Sheet1!K649</f>
        <v>0.93</v>
      </c>
    </row>
    <row r="650" spans="1:16" x14ac:dyDescent="0.35">
      <c r="A650" t="s">
        <v>700</v>
      </c>
      <c r="B650" t="str">
        <f>TRIM([1]Sheet1!AD650)</f>
        <v>Joel Randolph</v>
      </c>
      <c r="C650" t="str">
        <f>IF(UPPER(LEFT([1]Sheet1!W650,1))="F","FEMALE","MALE")</f>
        <v>MALE</v>
      </c>
      <c r="D650">
        <v>46</v>
      </c>
      <c r="E650" t="s">
        <v>57</v>
      </c>
      <c r="F650" t="s">
        <v>57</v>
      </c>
      <c r="G650" t="s">
        <v>58</v>
      </c>
      <c r="H650" t="s">
        <v>62</v>
      </c>
      <c r="I650" s="1">
        <v>20</v>
      </c>
      <c r="J650" s="1" t="str">
        <f t="shared" si="104"/>
        <v xml:space="preserve"> 16-20</v>
      </c>
      <c r="K650" s="1">
        <v>4.8</v>
      </c>
      <c r="M650" s="1">
        <f t="shared" si="105"/>
        <v>0</v>
      </c>
      <c r="N650" s="1">
        <f t="shared" si="106"/>
        <v>0</v>
      </c>
      <c r="O650" t="s">
        <v>1054</v>
      </c>
      <c r="P650" s="4">
        <f>[2]Sheet1!K650</f>
        <v>0.82</v>
      </c>
    </row>
    <row r="651" spans="1:16" x14ac:dyDescent="0.35">
      <c r="A651" t="s">
        <v>701</v>
      </c>
      <c r="B651" t="str">
        <f>TRIM([1]Sheet1!AD651)</f>
        <v>Andrew Scott</v>
      </c>
      <c r="C651" t="str">
        <f>IF(UPPER(LEFT([1]Sheet1!W651,1))="F","FEMALE","MALE")</f>
        <v>MALE</v>
      </c>
      <c r="D651">
        <v>51</v>
      </c>
      <c r="E651" t="s">
        <v>10</v>
      </c>
      <c r="F651" t="s">
        <v>10</v>
      </c>
      <c r="G651" t="s">
        <v>11</v>
      </c>
      <c r="H651" t="s">
        <v>41</v>
      </c>
      <c r="I651" s="1">
        <v>9</v>
      </c>
      <c r="J651" s="1" t="str">
        <f t="shared" si="104"/>
        <v>5-10</v>
      </c>
      <c r="L651" s="2">
        <v>40</v>
      </c>
      <c r="M651" s="1">
        <f t="shared" si="105"/>
        <v>40</v>
      </c>
      <c r="N651" s="1">
        <f t="shared" si="106"/>
        <v>40</v>
      </c>
      <c r="O651" t="s">
        <v>1053</v>
      </c>
      <c r="P651" s="3">
        <f>[2]Sheet1!K651/100</f>
        <v>0.6</v>
      </c>
    </row>
    <row r="652" spans="1:16" x14ac:dyDescent="0.35">
      <c r="A652" t="s">
        <v>702</v>
      </c>
      <c r="B652" t="str">
        <f>TRIM([1]Sheet1!AD652)</f>
        <v>Zachary Ochoa</v>
      </c>
      <c r="C652" t="str">
        <f>IF(UPPER(LEFT([1]Sheet1!W652,1))="F","FEMALE","MALE")</f>
        <v>MALE</v>
      </c>
      <c r="D652">
        <v>51</v>
      </c>
      <c r="E652" t="s">
        <v>35</v>
      </c>
      <c r="F652" t="s">
        <v>35</v>
      </c>
      <c r="G652" t="s">
        <v>11</v>
      </c>
      <c r="H652" t="s">
        <v>23</v>
      </c>
      <c r="I652" s="1">
        <v>12</v>
      </c>
      <c r="J652" s="1" t="str">
        <f t="shared" si="104"/>
        <v>11-16</v>
      </c>
      <c r="K652" s="1">
        <v>4</v>
      </c>
      <c r="L652" s="1">
        <v>20</v>
      </c>
      <c r="M652" s="1">
        <f t="shared" si="105"/>
        <v>20</v>
      </c>
      <c r="N652" s="1">
        <f t="shared" si="106"/>
        <v>20</v>
      </c>
      <c r="O652" t="s">
        <v>1053</v>
      </c>
      <c r="P652" s="3">
        <f>[2]Sheet1!K652/100</f>
        <v>0.93</v>
      </c>
    </row>
    <row r="653" spans="1:16" x14ac:dyDescent="0.35">
      <c r="A653" t="s">
        <v>703</v>
      </c>
      <c r="B653" t="str">
        <f>TRIM([1]Sheet1!AD653)</f>
        <v>John Arroyo</v>
      </c>
      <c r="C653" t="str">
        <f>IF(UPPER(LEFT([1]Sheet1!W653,1))="F","FEMALE","MALE")</f>
        <v>MALE</v>
      </c>
      <c r="D653">
        <v>27</v>
      </c>
      <c r="E653" t="s">
        <v>35</v>
      </c>
      <c r="F653" t="s">
        <v>35</v>
      </c>
      <c r="G653" t="s">
        <v>11</v>
      </c>
      <c r="H653" t="s">
        <v>23</v>
      </c>
      <c r="I653" s="1">
        <v>3</v>
      </c>
      <c r="J653" s="1" t="str">
        <f t="shared" si="104"/>
        <v>0-5</v>
      </c>
      <c r="L653" s="1" t="s">
        <v>1065</v>
      </c>
      <c r="M653" s="1" t="str">
        <f t="shared" si="105"/>
        <v>USD 50</v>
      </c>
      <c r="N653" s="1">
        <v>50</v>
      </c>
      <c r="O653" t="s">
        <v>1053</v>
      </c>
    </row>
    <row r="654" spans="1:16" x14ac:dyDescent="0.35">
      <c r="A654" t="s">
        <v>704</v>
      </c>
      <c r="B654" t="str">
        <f>TRIM([1]Sheet1!AD654)</f>
        <v>Matthew Fernandez</v>
      </c>
      <c r="C654" t="str">
        <f>IF(UPPER(LEFT([1]Sheet1!W654,1))="F","FEMALE","MALE")</f>
        <v>MALE</v>
      </c>
      <c r="D654">
        <v>42</v>
      </c>
      <c r="E654" t="s">
        <v>105</v>
      </c>
      <c r="F654" t="s">
        <v>105</v>
      </c>
      <c r="G654" t="s">
        <v>38</v>
      </c>
      <c r="H654" t="s">
        <v>18</v>
      </c>
      <c r="I654" s="1">
        <v>13</v>
      </c>
      <c r="J654" s="1" t="str">
        <f t="shared" si="104"/>
        <v>11-16</v>
      </c>
      <c r="K654" s="1">
        <v>0</v>
      </c>
      <c r="L654" s="1">
        <v>30</v>
      </c>
      <c r="M654" s="1">
        <f t="shared" si="105"/>
        <v>30</v>
      </c>
      <c r="N654" s="1">
        <f t="shared" ref="N654:N658" si="107">M654</f>
        <v>30</v>
      </c>
      <c r="O654" t="s">
        <v>1053</v>
      </c>
      <c r="P654" s="4">
        <f>[2]Sheet1!K654</f>
        <v>0.74</v>
      </c>
    </row>
    <row r="655" spans="1:16" x14ac:dyDescent="0.35">
      <c r="A655" t="s">
        <v>705</v>
      </c>
      <c r="B655" t="str">
        <f>TRIM([1]Sheet1!AD655)</f>
        <v>Benjamin Stark</v>
      </c>
      <c r="C655" t="str">
        <f>IF(UPPER(LEFT([1]Sheet1!W655,1))="F","FEMALE","MALE")</f>
        <v>MALE</v>
      </c>
      <c r="D655">
        <v>25</v>
      </c>
      <c r="E655" t="s">
        <v>14</v>
      </c>
      <c r="F655" t="s">
        <v>14</v>
      </c>
      <c r="G655" t="s">
        <v>15</v>
      </c>
      <c r="H655" t="s">
        <v>39</v>
      </c>
      <c r="I655" s="1">
        <v>4</v>
      </c>
      <c r="J655" s="1" t="str">
        <f t="shared" si="104"/>
        <v>0-5</v>
      </c>
      <c r="K655" s="1">
        <v>2.2999999999999998</v>
      </c>
      <c r="L655" s="2">
        <v>40</v>
      </c>
      <c r="M655" s="1">
        <f t="shared" si="105"/>
        <v>40</v>
      </c>
      <c r="N655" s="1">
        <f t="shared" si="107"/>
        <v>40</v>
      </c>
      <c r="O655" t="s">
        <v>1054</v>
      </c>
      <c r="P655" s="3">
        <f>[2]Sheet1!K655/100</f>
        <v>0.73</v>
      </c>
    </row>
    <row r="656" spans="1:16" x14ac:dyDescent="0.35">
      <c r="A656" t="s">
        <v>706</v>
      </c>
      <c r="B656" t="str">
        <f>TRIM([1]Sheet1!AD656)</f>
        <v>Tammy Greer</v>
      </c>
      <c r="C656" t="str">
        <f>IF(UPPER(LEFT([1]Sheet1!W656,1))="F","FEMALE","MALE")</f>
        <v>FEMALE</v>
      </c>
      <c r="D656">
        <v>32</v>
      </c>
      <c r="E656" t="s">
        <v>14</v>
      </c>
      <c r="F656" t="s">
        <v>14</v>
      </c>
      <c r="G656" t="s">
        <v>15</v>
      </c>
      <c r="H656" t="s">
        <v>27</v>
      </c>
      <c r="I656" s="1">
        <v>9</v>
      </c>
      <c r="J656" s="1" t="str">
        <f t="shared" si="104"/>
        <v>5-10</v>
      </c>
      <c r="L656" s="1">
        <v>75</v>
      </c>
      <c r="M656" s="1">
        <f t="shared" si="105"/>
        <v>75</v>
      </c>
      <c r="N656" s="1">
        <f t="shared" si="107"/>
        <v>75</v>
      </c>
      <c r="O656" t="s">
        <v>1053</v>
      </c>
      <c r="P656" s="4">
        <f>[2]Sheet1!K656</f>
        <v>0.96</v>
      </c>
    </row>
    <row r="657" spans="1:16" x14ac:dyDescent="0.35">
      <c r="A657" t="s">
        <v>707</v>
      </c>
      <c r="B657" t="str">
        <f>TRIM([1]Sheet1!AD657)</f>
        <v>Cynthia Mckinney</v>
      </c>
      <c r="C657" t="str">
        <f>IF(UPPER(LEFT([1]Sheet1!W657,1))="F","FEMALE","MALE")</f>
        <v>FEMALE</v>
      </c>
      <c r="D657">
        <v>59</v>
      </c>
      <c r="E657" t="s">
        <v>70</v>
      </c>
      <c r="F657" t="s">
        <v>70</v>
      </c>
      <c r="G657" t="s">
        <v>11</v>
      </c>
      <c r="H657" t="s">
        <v>16</v>
      </c>
      <c r="I657" s="1">
        <v>14</v>
      </c>
      <c r="J657" s="1" t="str">
        <f t="shared" si="104"/>
        <v>11-16</v>
      </c>
      <c r="K657" s="1">
        <v>3.8</v>
      </c>
      <c r="L657" s="1">
        <v>30</v>
      </c>
      <c r="M657" s="1">
        <f t="shared" si="105"/>
        <v>30</v>
      </c>
      <c r="N657" s="1">
        <f t="shared" si="107"/>
        <v>30</v>
      </c>
      <c r="P657" s="4">
        <f>[2]Sheet1!K657</f>
        <v>0.66</v>
      </c>
    </row>
    <row r="658" spans="1:16" x14ac:dyDescent="0.35">
      <c r="A658" t="s">
        <v>708</v>
      </c>
      <c r="B658" t="str">
        <f>TRIM([1]Sheet1!AD658)</f>
        <v>Wendy Rice</v>
      </c>
      <c r="C658" t="str">
        <f>IF(UPPER(LEFT([1]Sheet1!W658,1))="F","FEMALE","MALE")</f>
        <v>FEMALE</v>
      </c>
      <c r="D658">
        <v>59</v>
      </c>
      <c r="E658" t="s">
        <v>74</v>
      </c>
      <c r="F658" t="s">
        <v>74</v>
      </c>
      <c r="G658" t="s">
        <v>75</v>
      </c>
      <c r="H658" t="s">
        <v>41</v>
      </c>
      <c r="I658" s="1">
        <v>37</v>
      </c>
      <c r="J658" s="1" t="str">
        <f t="shared" si="104"/>
        <v>31+</v>
      </c>
      <c r="K658" s="1">
        <v>4</v>
      </c>
      <c r="L658" s="1">
        <v>30</v>
      </c>
      <c r="M658" s="1">
        <f t="shared" si="105"/>
        <v>30</v>
      </c>
      <c r="N658" s="1">
        <f t="shared" si="107"/>
        <v>30</v>
      </c>
      <c r="O658" t="s">
        <v>1053</v>
      </c>
      <c r="P658" s="4">
        <f>[2]Sheet1!K658</f>
        <v>0.62</v>
      </c>
    </row>
    <row r="659" spans="1:16" x14ac:dyDescent="0.35">
      <c r="A659" t="s">
        <v>709</v>
      </c>
      <c r="B659" t="str">
        <f>TRIM([1]Sheet1!AD659)</f>
        <v>Randy Bender</v>
      </c>
      <c r="C659" t="str">
        <f>IF(UPPER(LEFT([1]Sheet1!W659,1))="F","FEMALE","MALE")</f>
        <v>MALE</v>
      </c>
      <c r="D659">
        <v>29</v>
      </c>
      <c r="E659" t="s">
        <v>14</v>
      </c>
      <c r="F659" t="s">
        <v>14</v>
      </c>
      <c r="G659" t="s">
        <v>15</v>
      </c>
      <c r="H659" t="s">
        <v>16</v>
      </c>
      <c r="I659" s="1">
        <v>2</v>
      </c>
      <c r="J659" s="1" t="str">
        <f t="shared" si="104"/>
        <v>0-5</v>
      </c>
      <c r="K659" s="1">
        <v>2.2000000000000002</v>
      </c>
      <c r="L659" s="1" t="s">
        <v>1063</v>
      </c>
      <c r="M659" s="1" t="str">
        <f t="shared" si="105"/>
        <v>USD 75</v>
      </c>
      <c r="N659" s="1">
        <v>75</v>
      </c>
      <c r="O659" t="s">
        <v>1054</v>
      </c>
      <c r="P659" s="4">
        <f>[2]Sheet1!K659</f>
        <v>0.85</v>
      </c>
    </row>
    <row r="660" spans="1:16" x14ac:dyDescent="0.35">
      <c r="A660" t="s">
        <v>710</v>
      </c>
      <c r="B660" t="str">
        <f>TRIM([1]Sheet1!AD660)</f>
        <v>Richard Dominguez</v>
      </c>
      <c r="C660" t="str">
        <f>IF(UPPER(LEFT([1]Sheet1!W660,1))="F","FEMALE","MALE")</f>
        <v>MALE</v>
      </c>
      <c r="D660">
        <v>58</v>
      </c>
      <c r="E660" t="s">
        <v>96</v>
      </c>
      <c r="F660" t="s">
        <v>96</v>
      </c>
      <c r="G660" t="s">
        <v>97</v>
      </c>
      <c r="H660" t="s">
        <v>23</v>
      </c>
      <c r="I660" s="1">
        <v>11</v>
      </c>
      <c r="J660" s="1" t="str">
        <f t="shared" si="104"/>
        <v>11-16</v>
      </c>
      <c r="K660" s="1">
        <v>4.3</v>
      </c>
      <c r="L660" s="1">
        <v>100</v>
      </c>
      <c r="M660" s="1">
        <f t="shared" si="105"/>
        <v>100</v>
      </c>
      <c r="N660" s="1">
        <f t="shared" ref="N660:N663" si="108">M660</f>
        <v>100</v>
      </c>
      <c r="O660" t="s">
        <v>1053</v>
      </c>
      <c r="P660" s="4">
        <f>[2]Sheet1!K660</f>
        <v>0.66</v>
      </c>
    </row>
    <row r="661" spans="1:16" x14ac:dyDescent="0.35">
      <c r="A661" t="s">
        <v>711</v>
      </c>
      <c r="B661" t="str">
        <f>TRIM([1]Sheet1!AD661)</f>
        <v>Melissa Maldonado</v>
      </c>
      <c r="C661" t="str">
        <f>IF(UPPER(LEFT([1]Sheet1!W661,1))="F","FEMALE","MALE")</f>
        <v>FEMALE</v>
      </c>
      <c r="D661">
        <v>56</v>
      </c>
      <c r="E661" t="s">
        <v>70</v>
      </c>
      <c r="F661" t="s">
        <v>70</v>
      </c>
      <c r="G661" t="s">
        <v>11</v>
      </c>
      <c r="H661" t="s">
        <v>41</v>
      </c>
      <c r="I661" s="1">
        <v>19</v>
      </c>
      <c r="J661" s="1" t="str">
        <f t="shared" si="104"/>
        <v xml:space="preserve"> 16-20</v>
      </c>
      <c r="K661" s="1">
        <v>0</v>
      </c>
      <c r="L661" s="1">
        <v>20</v>
      </c>
      <c r="M661" s="1">
        <f t="shared" si="105"/>
        <v>20</v>
      </c>
      <c r="N661" s="1">
        <f t="shared" si="108"/>
        <v>20</v>
      </c>
      <c r="O661" t="s">
        <v>1053</v>
      </c>
      <c r="P661" s="4">
        <f>[2]Sheet1!K661</f>
        <v>0.87</v>
      </c>
    </row>
    <row r="662" spans="1:16" x14ac:dyDescent="0.35">
      <c r="A662" t="s">
        <v>712</v>
      </c>
      <c r="B662" t="str">
        <f>TRIM([1]Sheet1!AD662)</f>
        <v>Leah Harris</v>
      </c>
      <c r="C662" t="str">
        <f>IF(UPPER(LEFT([1]Sheet1!W662,1))="F","FEMALE","MALE")</f>
        <v>FEMALE</v>
      </c>
      <c r="D662">
        <v>36</v>
      </c>
      <c r="E662" t="s">
        <v>30</v>
      </c>
      <c r="F662" t="s">
        <v>30</v>
      </c>
      <c r="G662" t="s">
        <v>11</v>
      </c>
      <c r="H662" t="s">
        <v>62</v>
      </c>
      <c r="I662" s="1">
        <v>9</v>
      </c>
      <c r="J662" s="1" t="str">
        <f t="shared" si="104"/>
        <v>5-10</v>
      </c>
      <c r="K662" s="1">
        <v>0</v>
      </c>
      <c r="L662" s="1">
        <v>20</v>
      </c>
      <c r="M662" s="1">
        <f t="shared" si="105"/>
        <v>20</v>
      </c>
      <c r="N662" s="1">
        <f t="shared" si="108"/>
        <v>20</v>
      </c>
      <c r="O662" t="s">
        <v>1054</v>
      </c>
      <c r="P662" s="3">
        <f>[2]Sheet1!K662/100</f>
        <v>0.68</v>
      </c>
    </row>
    <row r="663" spans="1:16" x14ac:dyDescent="0.35">
      <c r="A663" t="s">
        <v>713</v>
      </c>
      <c r="B663" t="str">
        <f>TRIM([1]Sheet1!AD663)</f>
        <v>Lynn French</v>
      </c>
      <c r="C663" t="str">
        <f>IF(UPPER(LEFT([1]Sheet1!W663,1))="F","FEMALE","MALE")</f>
        <v>FEMALE</v>
      </c>
      <c r="D663">
        <v>52</v>
      </c>
      <c r="E663" t="s">
        <v>70</v>
      </c>
      <c r="F663" t="s">
        <v>70</v>
      </c>
      <c r="G663" t="s">
        <v>11</v>
      </c>
      <c r="H663" t="s">
        <v>39</v>
      </c>
      <c r="I663" s="1">
        <v>16</v>
      </c>
      <c r="J663" s="1" t="str">
        <f t="shared" si="104"/>
        <v>11-16</v>
      </c>
      <c r="K663" s="1">
        <v>4</v>
      </c>
      <c r="L663" s="1">
        <v>100</v>
      </c>
      <c r="M663" s="1">
        <f t="shared" si="105"/>
        <v>100</v>
      </c>
      <c r="N663" s="1">
        <f t="shared" si="108"/>
        <v>100</v>
      </c>
      <c r="O663" t="s">
        <v>1054</v>
      </c>
    </row>
    <row r="664" spans="1:16" x14ac:dyDescent="0.35">
      <c r="A664" t="s">
        <v>714</v>
      </c>
      <c r="B664" t="str">
        <f>TRIM([1]Sheet1!AD664)</f>
        <v>Angela Johnson</v>
      </c>
      <c r="C664" t="str">
        <f>IF(UPPER(LEFT([1]Sheet1!W664,1))="F","FEMALE","MALE")</f>
        <v>FEMALE</v>
      </c>
      <c r="D664">
        <v>42</v>
      </c>
      <c r="E664" t="s">
        <v>21</v>
      </c>
      <c r="F664" t="s">
        <v>21</v>
      </c>
      <c r="G664" t="s">
        <v>22</v>
      </c>
      <c r="H664" t="s">
        <v>12</v>
      </c>
      <c r="I664" s="1">
        <v>8</v>
      </c>
      <c r="J664" s="1" t="str">
        <f t="shared" si="104"/>
        <v>5-10</v>
      </c>
      <c r="L664" s="1" t="s">
        <v>1065</v>
      </c>
      <c r="M664" s="1" t="str">
        <f t="shared" si="105"/>
        <v>USD 50</v>
      </c>
      <c r="N664" s="1">
        <v>50</v>
      </c>
    </row>
    <row r="665" spans="1:16" x14ac:dyDescent="0.35">
      <c r="A665" t="s">
        <v>715</v>
      </c>
      <c r="B665" t="str">
        <f>TRIM([1]Sheet1!AD665)</f>
        <v>Sarah Edwards</v>
      </c>
      <c r="C665" t="str">
        <f>IF(UPPER(LEFT([1]Sheet1!W665,1))="F","FEMALE","MALE")</f>
        <v>FEMALE</v>
      </c>
      <c r="D665">
        <v>59</v>
      </c>
      <c r="E665" t="s">
        <v>50</v>
      </c>
      <c r="F665" t="s">
        <v>50</v>
      </c>
      <c r="G665" t="s">
        <v>51</v>
      </c>
      <c r="H665" t="s">
        <v>12</v>
      </c>
      <c r="I665" s="1">
        <v>34</v>
      </c>
      <c r="J665" s="1" t="str">
        <f t="shared" si="104"/>
        <v>31+</v>
      </c>
      <c r="K665" s="1">
        <v>2</v>
      </c>
      <c r="L665" s="1">
        <v>100</v>
      </c>
      <c r="M665" s="1">
        <f t="shared" si="105"/>
        <v>100</v>
      </c>
      <c r="N665" s="1">
        <f t="shared" ref="N665:N666" si="109">M665</f>
        <v>100</v>
      </c>
      <c r="O665" t="s">
        <v>1054</v>
      </c>
      <c r="P665" s="4">
        <f>[2]Sheet1!K665</f>
        <v>0.79</v>
      </c>
    </row>
    <row r="666" spans="1:16" x14ac:dyDescent="0.35">
      <c r="A666" t="s">
        <v>716</v>
      </c>
      <c r="B666" t="str">
        <f>TRIM([1]Sheet1!AD666)</f>
        <v>Roy Collins</v>
      </c>
      <c r="C666" t="str">
        <f>IF(UPPER(LEFT([1]Sheet1!W666,1))="F","FEMALE","MALE")</f>
        <v>MALE</v>
      </c>
      <c r="D666">
        <v>33</v>
      </c>
      <c r="E666" t="s">
        <v>21</v>
      </c>
      <c r="F666" t="s">
        <v>21</v>
      </c>
      <c r="G666" t="s">
        <v>22</v>
      </c>
      <c r="H666" t="s">
        <v>12</v>
      </c>
      <c r="I666" s="1">
        <v>5</v>
      </c>
      <c r="J666" s="1" t="str">
        <f t="shared" si="104"/>
        <v>0-5</v>
      </c>
      <c r="K666" s="1">
        <v>4.7</v>
      </c>
      <c r="L666" s="2">
        <v>50</v>
      </c>
      <c r="M666" s="1">
        <f t="shared" si="105"/>
        <v>50</v>
      </c>
      <c r="N666" s="1">
        <f t="shared" si="109"/>
        <v>50</v>
      </c>
      <c r="O666" t="s">
        <v>1054</v>
      </c>
      <c r="P666" s="4">
        <f>[2]Sheet1!K666</f>
        <v>0.88</v>
      </c>
    </row>
    <row r="667" spans="1:16" x14ac:dyDescent="0.35">
      <c r="A667" t="s">
        <v>717</v>
      </c>
      <c r="B667" t="str">
        <f>TRIM([1]Sheet1!AD667)</f>
        <v>Samantha Porter</v>
      </c>
      <c r="C667" t="str">
        <f>IF(UPPER(LEFT([1]Sheet1!W667,1))="F","FEMALE","MALE")</f>
        <v>FEMALE</v>
      </c>
      <c r="D667">
        <v>55</v>
      </c>
      <c r="E667" t="s">
        <v>70</v>
      </c>
      <c r="F667" t="s">
        <v>70</v>
      </c>
      <c r="G667" t="s">
        <v>11</v>
      </c>
      <c r="H667" t="s">
        <v>18</v>
      </c>
      <c r="I667" s="1">
        <v>14</v>
      </c>
      <c r="J667" s="1" t="str">
        <f t="shared" si="104"/>
        <v>11-16</v>
      </c>
      <c r="K667" s="1">
        <v>3.6</v>
      </c>
      <c r="L667" s="1" t="s">
        <v>1065</v>
      </c>
      <c r="M667" s="1" t="str">
        <f t="shared" si="105"/>
        <v>USD 50</v>
      </c>
      <c r="N667" s="1">
        <v>50</v>
      </c>
      <c r="O667" t="s">
        <v>1054</v>
      </c>
      <c r="P667" s="4">
        <f>[2]Sheet1!K667</f>
        <v>0.81</v>
      </c>
    </row>
    <row r="668" spans="1:16" x14ac:dyDescent="0.35">
      <c r="A668" t="s">
        <v>718</v>
      </c>
      <c r="B668" t="str">
        <f>TRIM([1]Sheet1!AD668)</f>
        <v>Juan Elliott</v>
      </c>
      <c r="C668" t="str">
        <f>IF(UPPER(LEFT([1]Sheet1!W668,1))="F","FEMALE","MALE")</f>
        <v>MALE</v>
      </c>
      <c r="D668">
        <v>47</v>
      </c>
      <c r="E668" t="s">
        <v>60</v>
      </c>
      <c r="F668" t="s">
        <v>60</v>
      </c>
      <c r="G668" t="s">
        <v>61</v>
      </c>
      <c r="H668" t="s">
        <v>39</v>
      </c>
      <c r="I668" s="1">
        <v>17</v>
      </c>
      <c r="J668" s="1" t="str">
        <f t="shared" si="104"/>
        <v xml:space="preserve"> 16-20</v>
      </c>
      <c r="K668" s="1">
        <v>1.2</v>
      </c>
      <c r="L668" s="1">
        <v>50</v>
      </c>
      <c r="M668" s="1">
        <f t="shared" si="105"/>
        <v>50</v>
      </c>
      <c r="N668" s="1">
        <f t="shared" ref="N668:N670" si="110">M668</f>
        <v>50</v>
      </c>
      <c r="O668" t="s">
        <v>1053</v>
      </c>
    </row>
    <row r="669" spans="1:16" x14ac:dyDescent="0.35">
      <c r="A669" t="s">
        <v>719</v>
      </c>
      <c r="B669" t="str">
        <f>TRIM([1]Sheet1!AD669)</f>
        <v>Elizabeth Phillips</v>
      </c>
      <c r="C669" t="str">
        <f>IF(UPPER(LEFT([1]Sheet1!W669,1))="F","FEMALE","MALE")</f>
        <v>FEMALE</v>
      </c>
      <c r="D669">
        <v>29</v>
      </c>
      <c r="E669" t="s">
        <v>99</v>
      </c>
      <c r="F669" t="s">
        <v>99</v>
      </c>
      <c r="G669" t="s">
        <v>38</v>
      </c>
      <c r="H669" t="s">
        <v>23</v>
      </c>
      <c r="I669" s="1">
        <v>10</v>
      </c>
      <c r="J669" s="1" t="str">
        <f t="shared" si="104"/>
        <v>5-10</v>
      </c>
      <c r="K669" s="1">
        <v>4.4000000000000004</v>
      </c>
      <c r="M669" s="1">
        <f t="shared" si="105"/>
        <v>0</v>
      </c>
      <c r="N669" s="1">
        <f t="shared" si="110"/>
        <v>0</v>
      </c>
      <c r="O669" t="s">
        <v>1054</v>
      </c>
      <c r="P669" s="4">
        <f>[2]Sheet1!K669</f>
        <v>0.67</v>
      </c>
    </row>
    <row r="670" spans="1:16" x14ac:dyDescent="0.35">
      <c r="A670" t="s">
        <v>720</v>
      </c>
      <c r="B670" t="str">
        <f>TRIM([1]Sheet1!AD670)</f>
        <v>Laura Evans</v>
      </c>
      <c r="C670" t="str">
        <f>IF(UPPER(LEFT([1]Sheet1!W670,1))="F","FEMALE","MALE")</f>
        <v>FEMALE</v>
      </c>
      <c r="D670">
        <v>30</v>
      </c>
      <c r="E670" t="s">
        <v>35</v>
      </c>
      <c r="F670" t="s">
        <v>35</v>
      </c>
      <c r="G670" t="s">
        <v>11</v>
      </c>
      <c r="H670" t="s">
        <v>48</v>
      </c>
      <c r="I670" s="1">
        <v>8</v>
      </c>
      <c r="J670" s="1" t="str">
        <f t="shared" si="104"/>
        <v>5-10</v>
      </c>
      <c r="K670" s="1">
        <v>1.4</v>
      </c>
      <c r="L670" s="1">
        <v>100</v>
      </c>
      <c r="M670" s="1">
        <f t="shared" si="105"/>
        <v>100</v>
      </c>
      <c r="N670" s="1">
        <f t="shared" si="110"/>
        <v>100</v>
      </c>
      <c r="O670" t="s">
        <v>1054</v>
      </c>
      <c r="P670" s="3">
        <f>[2]Sheet1!K670/100</f>
        <v>0.62</v>
      </c>
    </row>
    <row r="671" spans="1:16" x14ac:dyDescent="0.35">
      <c r="A671" t="s">
        <v>721</v>
      </c>
      <c r="B671" t="str">
        <f>TRIM([1]Sheet1!AD671)</f>
        <v>Amanda Mitchell</v>
      </c>
      <c r="C671" t="str">
        <f>IF(UPPER(LEFT([1]Sheet1!W671,1))="F","FEMALE","MALE")</f>
        <v>FEMALE</v>
      </c>
      <c r="D671">
        <v>25</v>
      </c>
      <c r="E671" t="s">
        <v>70</v>
      </c>
      <c r="F671" t="s">
        <v>70</v>
      </c>
      <c r="G671" t="s">
        <v>11</v>
      </c>
      <c r="H671" t="s">
        <v>48</v>
      </c>
      <c r="I671" s="1">
        <v>1</v>
      </c>
      <c r="J671" s="1" t="str">
        <f t="shared" si="104"/>
        <v>0-5</v>
      </c>
      <c r="K671" s="1">
        <v>3.2</v>
      </c>
      <c r="L671" s="1" t="s">
        <v>1066</v>
      </c>
      <c r="M671" s="1" t="str">
        <f t="shared" si="105"/>
        <v>USD 30</v>
      </c>
      <c r="N671" s="1">
        <v>30</v>
      </c>
      <c r="O671" t="s">
        <v>1053</v>
      </c>
      <c r="P671" s="4">
        <f>[2]Sheet1!K671</f>
        <v>0.87</v>
      </c>
    </row>
    <row r="672" spans="1:16" x14ac:dyDescent="0.35">
      <c r="A672" t="s">
        <v>722</v>
      </c>
      <c r="B672" t="str">
        <f>TRIM([1]Sheet1!AD672)</f>
        <v>Sandra Williams</v>
      </c>
      <c r="C672" t="str">
        <f>IF(UPPER(LEFT([1]Sheet1!W672,1))="F","FEMALE","MALE")</f>
        <v>FEMALE</v>
      </c>
      <c r="D672">
        <v>28</v>
      </c>
      <c r="E672" t="s">
        <v>77</v>
      </c>
      <c r="F672" t="s">
        <v>77</v>
      </c>
      <c r="G672" t="s">
        <v>78</v>
      </c>
      <c r="H672" t="s">
        <v>41</v>
      </c>
      <c r="I672" s="1">
        <v>10</v>
      </c>
      <c r="J672" s="1" t="str">
        <f t="shared" si="104"/>
        <v>5-10</v>
      </c>
      <c r="K672" s="1">
        <v>3.8</v>
      </c>
      <c r="M672" s="1">
        <f t="shared" si="105"/>
        <v>0</v>
      </c>
      <c r="N672" s="1">
        <f t="shared" ref="N672:N683" si="111">M672</f>
        <v>0</v>
      </c>
      <c r="O672" t="s">
        <v>1054</v>
      </c>
      <c r="P672" s="4">
        <f>[2]Sheet1!K672</f>
        <v>0.98</v>
      </c>
    </row>
    <row r="673" spans="1:16" x14ac:dyDescent="0.35">
      <c r="A673" t="s">
        <v>723</v>
      </c>
      <c r="B673" t="str">
        <f>TRIM([1]Sheet1!AD673)</f>
        <v>Eric Johnson</v>
      </c>
      <c r="C673" t="str">
        <f>IF(UPPER(LEFT([1]Sheet1!W673,1))="F","FEMALE","MALE")</f>
        <v>MALE</v>
      </c>
      <c r="D673">
        <v>29</v>
      </c>
      <c r="E673" t="s">
        <v>60</v>
      </c>
      <c r="F673" t="s">
        <v>60</v>
      </c>
      <c r="G673" t="s">
        <v>61</v>
      </c>
      <c r="H673" t="s">
        <v>8</v>
      </c>
      <c r="I673" s="1">
        <v>0</v>
      </c>
      <c r="J673" s="1" t="str">
        <f t="shared" si="104"/>
        <v>0-5</v>
      </c>
      <c r="K673" s="1">
        <v>1.5</v>
      </c>
      <c r="L673" s="2">
        <v>75</v>
      </c>
      <c r="M673" s="1">
        <f t="shared" si="105"/>
        <v>75</v>
      </c>
      <c r="N673" s="1">
        <f t="shared" si="111"/>
        <v>75</v>
      </c>
      <c r="O673" t="s">
        <v>1054</v>
      </c>
      <c r="P673" s="4">
        <f>[2]Sheet1!K673</f>
        <v>0.64</v>
      </c>
    </row>
    <row r="674" spans="1:16" x14ac:dyDescent="0.35">
      <c r="A674" t="s">
        <v>724</v>
      </c>
      <c r="B674" t="str">
        <f>TRIM([1]Sheet1!AD674)</f>
        <v>Javier Hobbs</v>
      </c>
      <c r="C674" t="str">
        <f>IF(UPPER(LEFT([1]Sheet1!W674,1))="F","FEMALE","MALE")</f>
        <v>MALE</v>
      </c>
      <c r="D674">
        <v>30</v>
      </c>
      <c r="E674" t="s">
        <v>105</v>
      </c>
      <c r="F674" t="s">
        <v>105</v>
      </c>
      <c r="G674" t="s">
        <v>38</v>
      </c>
      <c r="H674" t="s">
        <v>16</v>
      </c>
      <c r="I674" s="1">
        <v>4</v>
      </c>
      <c r="J674" s="1" t="str">
        <f t="shared" si="104"/>
        <v>0-5</v>
      </c>
      <c r="K674" s="1">
        <v>2.8</v>
      </c>
      <c r="M674" s="1">
        <f t="shared" si="105"/>
        <v>0</v>
      </c>
      <c r="N674" s="1">
        <f t="shared" si="111"/>
        <v>0</v>
      </c>
      <c r="O674" t="s">
        <v>1054</v>
      </c>
      <c r="P674" s="4">
        <f>[2]Sheet1!K674</f>
        <v>0.71</v>
      </c>
    </row>
    <row r="675" spans="1:16" x14ac:dyDescent="0.35">
      <c r="A675" t="s">
        <v>725</v>
      </c>
      <c r="B675" t="str">
        <f>TRIM([1]Sheet1!AD675)</f>
        <v>Jacob Jones</v>
      </c>
      <c r="C675" t="str">
        <f>IF(UPPER(LEFT([1]Sheet1!W675,1))="F","FEMALE","MALE")</f>
        <v>MALE</v>
      </c>
      <c r="D675">
        <v>47</v>
      </c>
      <c r="E675" t="s">
        <v>77</v>
      </c>
      <c r="F675" t="s">
        <v>77</v>
      </c>
      <c r="G675" t="s">
        <v>78</v>
      </c>
      <c r="H675" t="s">
        <v>23</v>
      </c>
      <c r="I675" s="1">
        <v>2</v>
      </c>
      <c r="J675" s="1" t="str">
        <f t="shared" si="104"/>
        <v>0-5</v>
      </c>
      <c r="K675" s="1">
        <v>2.7</v>
      </c>
      <c r="L675" s="1">
        <v>50</v>
      </c>
      <c r="M675" s="1">
        <f t="shared" si="105"/>
        <v>50</v>
      </c>
      <c r="N675" s="1">
        <f t="shared" si="111"/>
        <v>50</v>
      </c>
      <c r="O675" t="s">
        <v>1053</v>
      </c>
      <c r="P675" s="3">
        <f>[2]Sheet1!K675/100</f>
        <v>0.96</v>
      </c>
    </row>
    <row r="676" spans="1:16" x14ac:dyDescent="0.35">
      <c r="A676" t="s">
        <v>726</v>
      </c>
      <c r="B676" t="str">
        <f>TRIM([1]Sheet1!AD676)</f>
        <v>Zachary Murphy</v>
      </c>
      <c r="C676" t="str">
        <f>IF(UPPER(LEFT([1]Sheet1!W676,1))="F","FEMALE","MALE")</f>
        <v>MALE</v>
      </c>
      <c r="D676">
        <v>34</v>
      </c>
      <c r="E676" t="s">
        <v>10</v>
      </c>
      <c r="F676" t="s">
        <v>10</v>
      </c>
      <c r="G676" t="s">
        <v>11</v>
      </c>
      <c r="H676" t="s">
        <v>8</v>
      </c>
      <c r="I676" s="1">
        <v>10</v>
      </c>
      <c r="J676" s="1" t="str">
        <f t="shared" si="104"/>
        <v>5-10</v>
      </c>
      <c r="K676" s="1">
        <v>3.9</v>
      </c>
      <c r="L676" s="2">
        <v>30</v>
      </c>
      <c r="M676" s="1">
        <f t="shared" si="105"/>
        <v>30</v>
      </c>
      <c r="N676" s="1">
        <f t="shared" si="111"/>
        <v>30</v>
      </c>
    </row>
    <row r="677" spans="1:16" x14ac:dyDescent="0.35">
      <c r="A677" t="s">
        <v>727</v>
      </c>
      <c r="B677" t="str">
        <f>TRIM([1]Sheet1!AD677)</f>
        <v>Joshua Owens</v>
      </c>
      <c r="C677" t="str">
        <f>IF(UPPER(LEFT([1]Sheet1!W677,1))="F","FEMALE","MALE")</f>
        <v>MALE</v>
      </c>
      <c r="D677">
        <v>45</v>
      </c>
      <c r="E677" t="s">
        <v>30</v>
      </c>
      <c r="F677" t="s">
        <v>30</v>
      </c>
      <c r="G677" t="s">
        <v>11</v>
      </c>
      <c r="H677" t="s">
        <v>16</v>
      </c>
      <c r="I677" s="1">
        <v>16</v>
      </c>
      <c r="J677" s="1" t="str">
        <f t="shared" si="104"/>
        <v>11-16</v>
      </c>
      <c r="K677" s="1">
        <v>4.5999999999999996</v>
      </c>
      <c r="L677" s="1">
        <v>100</v>
      </c>
      <c r="M677" s="1">
        <f t="shared" si="105"/>
        <v>100</v>
      </c>
      <c r="N677" s="1">
        <f t="shared" si="111"/>
        <v>100</v>
      </c>
      <c r="O677" t="s">
        <v>1053</v>
      </c>
      <c r="P677" s="4">
        <f>[2]Sheet1!K677</f>
        <v>0.78</v>
      </c>
    </row>
    <row r="678" spans="1:16" x14ac:dyDescent="0.35">
      <c r="A678" t="s">
        <v>728</v>
      </c>
      <c r="B678" t="str">
        <f>TRIM([1]Sheet1!AD678)</f>
        <v>Dawn Mitchell</v>
      </c>
      <c r="C678" t="str">
        <f>IF(UPPER(LEFT([1]Sheet1!W678,1))="F","FEMALE","MALE")</f>
        <v>FEMALE</v>
      </c>
      <c r="D678">
        <v>56</v>
      </c>
      <c r="E678" t="s">
        <v>105</v>
      </c>
      <c r="F678" t="s">
        <v>105</v>
      </c>
      <c r="G678" t="s">
        <v>38</v>
      </c>
      <c r="H678" t="s">
        <v>41</v>
      </c>
      <c r="I678" s="1">
        <v>27</v>
      </c>
      <c r="J678" s="1" t="str">
        <f t="shared" si="104"/>
        <v>26-30</v>
      </c>
      <c r="K678" s="1">
        <v>2.2000000000000002</v>
      </c>
      <c r="L678" s="2">
        <v>20</v>
      </c>
      <c r="M678" s="1">
        <f t="shared" si="105"/>
        <v>20</v>
      </c>
      <c r="N678" s="1">
        <f t="shared" si="111"/>
        <v>20</v>
      </c>
      <c r="O678" t="s">
        <v>1053</v>
      </c>
      <c r="P678" s="4">
        <f>[2]Sheet1!K678</f>
        <v>0.7</v>
      </c>
    </row>
    <row r="679" spans="1:16" x14ac:dyDescent="0.35">
      <c r="A679" t="s">
        <v>729</v>
      </c>
      <c r="B679" t="str">
        <f>TRIM([1]Sheet1!AD679)</f>
        <v>Regina Dunn</v>
      </c>
      <c r="C679" t="str">
        <f>IF(UPPER(LEFT([1]Sheet1!W679,1))="F","FEMALE","MALE")</f>
        <v>FEMALE</v>
      </c>
      <c r="D679">
        <v>49</v>
      </c>
      <c r="E679" t="s">
        <v>96</v>
      </c>
      <c r="F679" t="s">
        <v>96</v>
      </c>
      <c r="G679" t="s">
        <v>97</v>
      </c>
      <c r="H679" t="s">
        <v>48</v>
      </c>
      <c r="I679" s="1">
        <v>20</v>
      </c>
      <c r="J679" s="1" t="str">
        <f t="shared" si="104"/>
        <v xml:space="preserve"> 16-20</v>
      </c>
      <c r="K679" s="1">
        <v>2.5</v>
      </c>
      <c r="L679" s="1">
        <v>50</v>
      </c>
      <c r="M679" s="1">
        <f t="shared" si="105"/>
        <v>50</v>
      </c>
      <c r="N679" s="1">
        <f t="shared" si="111"/>
        <v>50</v>
      </c>
      <c r="O679" t="s">
        <v>1053</v>
      </c>
      <c r="P679" s="4">
        <f>[2]Sheet1!K679</f>
        <v>0.82</v>
      </c>
    </row>
    <row r="680" spans="1:16" x14ac:dyDescent="0.35">
      <c r="A680" t="s">
        <v>730</v>
      </c>
      <c r="B680" t="str">
        <f>TRIM([1]Sheet1!AD680)</f>
        <v>Ernest Cole</v>
      </c>
      <c r="C680" t="str">
        <f>IF(UPPER(LEFT([1]Sheet1!W680,1))="F","FEMALE","MALE")</f>
        <v>MALE</v>
      </c>
      <c r="D680">
        <v>48</v>
      </c>
      <c r="E680" t="s">
        <v>74</v>
      </c>
      <c r="F680" t="s">
        <v>74</v>
      </c>
      <c r="G680" t="s">
        <v>75</v>
      </c>
      <c r="H680" t="s">
        <v>23</v>
      </c>
      <c r="I680" s="1">
        <v>10</v>
      </c>
      <c r="J680" s="1" t="str">
        <f t="shared" si="104"/>
        <v>5-10</v>
      </c>
      <c r="K680" s="1">
        <v>3.1</v>
      </c>
      <c r="M680" s="1">
        <f t="shared" si="105"/>
        <v>0</v>
      </c>
      <c r="N680" s="1">
        <f t="shared" si="111"/>
        <v>0</v>
      </c>
      <c r="O680" t="s">
        <v>1053</v>
      </c>
    </row>
    <row r="681" spans="1:16" x14ac:dyDescent="0.35">
      <c r="A681" t="s">
        <v>731</v>
      </c>
      <c r="B681" t="str">
        <f>TRIM([1]Sheet1!AD681)</f>
        <v>Hannah Sanders</v>
      </c>
      <c r="C681" t="str">
        <f>IF(UPPER(LEFT([1]Sheet1!W681,1))="F","FEMALE","MALE")</f>
        <v>FEMALE</v>
      </c>
      <c r="D681">
        <v>29</v>
      </c>
      <c r="E681" t="s">
        <v>60</v>
      </c>
      <c r="F681" t="s">
        <v>60</v>
      </c>
      <c r="G681" t="s">
        <v>61</v>
      </c>
      <c r="H681" t="s">
        <v>16</v>
      </c>
      <c r="I681" s="1">
        <v>0</v>
      </c>
      <c r="J681" s="1" t="str">
        <f t="shared" si="104"/>
        <v>0-5</v>
      </c>
      <c r="L681" s="2">
        <v>20</v>
      </c>
      <c r="M681" s="1">
        <f t="shared" si="105"/>
        <v>20</v>
      </c>
      <c r="N681" s="1">
        <f t="shared" si="111"/>
        <v>20</v>
      </c>
      <c r="O681" t="s">
        <v>1054</v>
      </c>
      <c r="P681" s="4">
        <f>[2]Sheet1!K681</f>
        <v>0.99</v>
      </c>
    </row>
    <row r="682" spans="1:16" x14ac:dyDescent="0.35">
      <c r="A682" t="s">
        <v>732</v>
      </c>
      <c r="B682" t="str">
        <f>TRIM([1]Sheet1!AD682)</f>
        <v>Ellen Bowman</v>
      </c>
      <c r="C682" t="str">
        <f>IF(UPPER(LEFT([1]Sheet1!W682,1))="F","FEMALE","MALE")</f>
        <v>FEMALE</v>
      </c>
      <c r="D682">
        <v>49</v>
      </c>
      <c r="E682" t="s">
        <v>21</v>
      </c>
      <c r="F682" t="s">
        <v>21</v>
      </c>
      <c r="G682" t="s">
        <v>22</v>
      </c>
      <c r="H682" t="s">
        <v>18</v>
      </c>
      <c r="I682" s="1">
        <v>11</v>
      </c>
      <c r="J682" s="1" t="str">
        <f t="shared" si="104"/>
        <v>11-16</v>
      </c>
      <c r="K682" s="1">
        <v>3.8</v>
      </c>
      <c r="L682" s="1">
        <v>75</v>
      </c>
      <c r="M682" s="1">
        <f t="shared" si="105"/>
        <v>75</v>
      </c>
      <c r="N682" s="1">
        <f t="shared" si="111"/>
        <v>75</v>
      </c>
      <c r="O682" t="s">
        <v>1054</v>
      </c>
      <c r="P682" s="4">
        <f>[2]Sheet1!K682</f>
        <v>0.93</v>
      </c>
    </row>
    <row r="683" spans="1:16" x14ac:dyDescent="0.35">
      <c r="A683" t="s">
        <v>733</v>
      </c>
      <c r="B683" t="str">
        <f>TRIM([1]Sheet1!AD683)</f>
        <v>Nancy Moore</v>
      </c>
      <c r="C683" t="str">
        <f>IF(UPPER(LEFT([1]Sheet1!W683,1))="F","FEMALE","MALE")</f>
        <v>FEMALE</v>
      </c>
      <c r="D683">
        <v>22</v>
      </c>
      <c r="E683" t="s">
        <v>96</v>
      </c>
      <c r="F683" t="s">
        <v>96</v>
      </c>
      <c r="G683" t="s">
        <v>97</v>
      </c>
      <c r="H683" t="s">
        <v>8</v>
      </c>
      <c r="I683" s="1">
        <v>1</v>
      </c>
      <c r="J683" s="1" t="str">
        <f t="shared" si="104"/>
        <v>0-5</v>
      </c>
      <c r="K683" s="1">
        <v>4.8</v>
      </c>
      <c r="L683" s="1">
        <v>100</v>
      </c>
      <c r="M683" s="1">
        <f t="shared" si="105"/>
        <v>100</v>
      </c>
      <c r="N683" s="1">
        <f t="shared" si="111"/>
        <v>100</v>
      </c>
      <c r="O683" t="s">
        <v>1054</v>
      </c>
      <c r="P683" s="4">
        <f>[2]Sheet1!K683</f>
        <v>0.75</v>
      </c>
    </row>
    <row r="684" spans="1:16" x14ac:dyDescent="0.35">
      <c r="A684" t="s">
        <v>734</v>
      </c>
      <c r="B684" t="str">
        <f>TRIM([1]Sheet1!AD684)</f>
        <v>Joseph Wood</v>
      </c>
      <c r="C684" t="str">
        <f>IF(UPPER(LEFT([1]Sheet1!W684,1))="F","FEMALE","MALE")</f>
        <v>MALE</v>
      </c>
      <c r="D684">
        <v>52</v>
      </c>
      <c r="E684" t="s">
        <v>99</v>
      </c>
      <c r="F684" t="s">
        <v>99</v>
      </c>
      <c r="G684" t="s">
        <v>38</v>
      </c>
      <c r="H684" t="s">
        <v>16</v>
      </c>
      <c r="I684" s="1">
        <v>30</v>
      </c>
      <c r="J684" s="1" t="str">
        <f t="shared" si="104"/>
        <v>26-30</v>
      </c>
      <c r="K684" s="1">
        <v>2.5</v>
      </c>
      <c r="L684" s="1" t="s">
        <v>1062</v>
      </c>
      <c r="M684" s="1" t="str">
        <f t="shared" si="105"/>
        <v>USD 100</v>
      </c>
      <c r="N684" s="1">
        <v>100</v>
      </c>
      <c r="P684" s="3">
        <f>[2]Sheet1!K684/100</f>
        <v>0.61</v>
      </c>
    </row>
    <row r="685" spans="1:16" x14ac:dyDescent="0.35">
      <c r="A685" t="s">
        <v>735</v>
      </c>
      <c r="B685" t="str">
        <f>TRIM([1]Sheet1!AD685)</f>
        <v>Michael Harrell</v>
      </c>
      <c r="C685" t="str">
        <f>IF(UPPER(LEFT([1]Sheet1!W685,1))="F","FEMALE","MALE")</f>
        <v>MALE</v>
      </c>
      <c r="D685">
        <v>60</v>
      </c>
      <c r="E685" t="s">
        <v>70</v>
      </c>
      <c r="F685" t="s">
        <v>70</v>
      </c>
      <c r="G685" t="s">
        <v>11</v>
      </c>
      <c r="H685" t="s">
        <v>8</v>
      </c>
      <c r="I685" s="1">
        <v>7</v>
      </c>
      <c r="J685" s="1" t="str">
        <f t="shared" si="104"/>
        <v>5-10</v>
      </c>
      <c r="K685" s="1">
        <v>0</v>
      </c>
      <c r="L685" s="1" t="s">
        <v>1066</v>
      </c>
      <c r="M685" s="1" t="str">
        <f t="shared" si="105"/>
        <v>USD 30</v>
      </c>
      <c r="N685" s="1">
        <v>30</v>
      </c>
      <c r="O685" t="s">
        <v>1053</v>
      </c>
      <c r="P685" s="4">
        <f>[2]Sheet1!K685</f>
        <v>0.97</v>
      </c>
    </row>
    <row r="686" spans="1:16" x14ac:dyDescent="0.35">
      <c r="A686" t="s">
        <v>736</v>
      </c>
      <c r="B686" t="str">
        <f>TRIM([1]Sheet1!AD686)</f>
        <v>Connie Mcclain</v>
      </c>
      <c r="C686" t="str">
        <f>IF(UPPER(LEFT([1]Sheet1!W686,1))="F","FEMALE","MALE")</f>
        <v>FEMALE</v>
      </c>
      <c r="D686">
        <v>33</v>
      </c>
      <c r="E686" t="s">
        <v>45</v>
      </c>
      <c r="F686" t="s">
        <v>45</v>
      </c>
      <c r="G686" t="s">
        <v>46</v>
      </c>
      <c r="H686" t="s">
        <v>39</v>
      </c>
      <c r="I686" s="1">
        <v>0</v>
      </c>
      <c r="J686" s="1" t="str">
        <f t="shared" si="104"/>
        <v>0-5</v>
      </c>
      <c r="K686" s="1">
        <v>1.7</v>
      </c>
      <c r="L686" s="2">
        <v>100</v>
      </c>
      <c r="M686" s="1">
        <f t="shared" si="105"/>
        <v>100</v>
      </c>
      <c r="N686" s="1">
        <f>M686</f>
        <v>100</v>
      </c>
      <c r="O686" t="s">
        <v>1054</v>
      </c>
      <c r="P686" s="3">
        <f>[2]Sheet1!K686/100</f>
        <v>0.95</v>
      </c>
    </row>
    <row r="687" spans="1:16" x14ac:dyDescent="0.35">
      <c r="A687" t="s">
        <v>737</v>
      </c>
      <c r="B687" t="str">
        <f>TRIM([1]Sheet1!AD687)</f>
        <v>Matthew Baldwin</v>
      </c>
      <c r="C687" t="str">
        <f>IF(UPPER(LEFT([1]Sheet1!W687,1))="F","FEMALE","MALE")</f>
        <v>MALE</v>
      </c>
      <c r="D687">
        <v>52</v>
      </c>
      <c r="E687" t="s">
        <v>60</v>
      </c>
      <c r="F687" t="s">
        <v>60</v>
      </c>
      <c r="G687" t="s">
        <v>61</v>
      </c>
      <c r="H687" t="s">
        <v>16</v>
      </c>
      <c r="I687" s="1">
        <v>21</v>
      </c>
      <c r="J687" s="1" t="str">
        <f t="shared" si="104"/>
        <v>21- 25</v>
      </c>
      <c r="K687" s="1">
        <v>4</v>
      </c>
      <c r="L687" s="1" t="s">
        <v>1064</v>
      </c>
      <c r="M687" s="1" t="str">
        <f t="shared" si="105"/>
        <v>USD 40</v>
      </c>
      <c r="N687" s="1">
        <v>40</v>
      </c>
      <c r="P687" s="4">
        <f>[2]Sheet1!K687</f>
        <v>0.69</v>
      </c>
    </row>
    <row r="688" spans="1:16" x14ac:dyDescent="0.35">
      <c r="A688" t="s">
        <v>738</v>
      </c>
      <c r="B688" t="str">
        <f>TRIM([1]Sheet1!AD688)</f>
        <v>Danielle Nelson</v>
      </c>
      <c r="C688" t="str">
        <f>IF(UPPER(LEFT([1]Sheet1!W688,1))="F","FEMALE","MALE")</f>
        <v>FEMALE</v>
      </c>
      <c r="D688">
        <v>25</v>
      </c>
      <c r="E688" t="s">
        <v>14</v>
      </c>
      <c r="F688" t="s">
        <v>14</v>
      </c>
      <c r="G688" t="s">
        <v>15</v>
      </c>
      <c r="H688" t="s">
        <v>48</v>
      </c>
      <c r="I688" s="1">
        <v>7</v>
      </c>
      <c r="J688" s="1" t="str">
        <f t="shared" si="104"/>
        <v>5-10</v>
      </c>
      <c r="K688" s="1">
        <v>1.9</v>
      </c>
      <c r="L688" s="1" t="s">
        <v>1062</v>
      </c>
      <c r="M688" s="1" t="str">
        <f t="shared" si="105"/>
        <v>USD 100</v>
      </c>
      <c r="N688" s="1">
        <v>100</v>
      </c>
      <c r="O688" t="s">
        <v>1053</v>
      </c>
      <c r="P688" s="4">
        <f>[2]Sheet1!K688</f>
        <v>0.63</v>
      </c>
    </row>
    <row r="689" spans="1:16" x14ac:dyDescent="0.35">
      <c r="A689" t="s">
        <v>739</v>
      </c>
      <c r="B689" t="str">
        <f>TRIM([1]Sheet1!AD689)</f>
        <v>Steven Moore</v>
      </c>
      <c r="C689" t="str">
        <f>IF(UPPER(LEFT([1]Sheet1!W689,1))="F","FEMALE","MALE")</f>
        <v>MALE</v>
      </c>
      <c r="D689">
        <v>33</v>
      </c>
      <c r="E689" t="s">
        <v>45</v>
      </c>
      <c r="F689" t="s">
        <v>45</v>
      </c>
      <c r="G689" t="s">
        <v>46</v>
      </c>
      <c r="H689" t="s">
        <v>41</v>
      </c>
      <c r="J689" s="1" t="str">
        <f t="shared" si="104"/>
        <v>0-5</v>
      </c>
      <c r="K689" s="1">
        <v>4.4000000000000004</v>
      </c>
      <c r="L689" s="1" t="s">
        <v>1066</v>
      </c>
      <c r="M689" s="1" t="str">
        <f t="shared" si="105"/>
        <v>USD 30</v>
      </c>
      <c r="N689" s="1">
        <v>30</v>
      </c>
      <c r="O689" t="s">
        <v>1054</v>
      </c>
      <c r="P689" s="4">
        <f>[2]Sheet1!K689</f>
        <v>0.65</v>
      </c>
    </row>
    <row r="690" spans="1:16" x14ac:dyDescent="0.35">
      <c r="A690" t="s">
        <v>740</v>
      </c>
      <c r="B690" t="str">
        <f>TRIM([1]Sheet1!AD690)</f>
        <v>Megan Hudson</v>
      </c>
      <c r="C690" t="str">
        <f>IF(UPPER(LEFT([1]Sheet1!W690,1))="F","FEMALE","MALE")</f>
        <v>FEMALE</v>
      </c>
      <c r="D690">
        <v>33</v>
      </c>
      <c r="E690" t="s">
        <v>96</v>
      </c>
      <c r="F690" t="s">
        <v>96</v>
      </c>
      <c r="G690" t="s">
        <v>97</v>
      </c>
      <c r="H690" t="s">
        <v>12</v>
      </c>
      <c r="J690" s="1" t="str">
        <f t="shared" si="104"/>
        <v>0-5</v>
      </c>
      <c r="K690" s="1">
        <v>4.2</v>
      </c>
      <c r="M690" s="1">
        <f t="shared" si="105"/>
        <v>0</v>
      </c>
      <c r="N690" s="1">
        <f t="shared" ref="N690:N691" si="112">M690</f>
        <v>0</v>
      </c>
      <c r="O690" t="s">
        <v>1054</v>
      </c>
      <c r="P690" s="4">
        <f>[2]Sheet1!K690</f>
        <v>0.9</v>
      </c>
    </row>
    <row r="691" spans="1:16" x14ac:dyDescent="0.35">
      <c r="A691" t="s">
        <v>741</v>
      </c>
      <c r="B691" t="str">
        <f>TRIM([1]Sheet1!AD691)</f>
        <v>Lisa Johnson</v>
      </c>
      <c r="C691" t="str">
        <f>IF(UPPER(LEFT([1]Sheet1!W691,1))="F","FEMALE","MALE")</f>
        <v>FEMALE</v>
      </c>
      <c r="D691">
        <v>52</v>
      </c>
      <c r="E691" t="s">
        <v>70</v>
      </c>
      <c r="F691" t="s">
        <v>70</v>
      </c>
      <c r="G691" t="s">
        <v>11</v>
      </c>
      <c r="H691" t="s">
        <v>39</v>
      </c>
      <c r="I691" s="1">
        <v>25</v>
      </c>
      <c r="J691" s="1" t="str">
        <f t="shared" si="104"/>
        <v>21- 25</v>
      </c>
      <c r="K691" s="1">
        <v>4.8</v>
      </c>
      <c r="L691" s="1">
        <v>100</v>
      </c>
      <c r="M691" s="1">
        <f t="shared" si="105"/>
        <v>100</v>
      </c>
      <c r="N691" s="1">
        <f t="shared" si="112"/>
        <v>100</v>
      </c>
      <c r="O691" t="s">
        <v>1053</v>
      </c>
    </row>
    <row r="692" spans="1:16" x14ac:dyDescent="0.35">
      <c r="A692" t="s">
        <v>742</v>
      </c>
      <c r="B692" t="str">
        <f>TRIM([1]Sheet1!AD692)</f>
        <v>Tracy White</v>
      </c>
      <c r="C692" t="str">
        <f>IF(UPPER(LEFT([1]Sheet1!W692,1))="F","FEMALE","MALE")</f>
        <v>FEMALE</v>
      </c>
      <c r="D692">
        <v>20</v>
      </c>
      <c r="E692" t="s">
        <v>25</v>
      </c>
      <c r="F692" t="s">
        <v>25</v>
      </c>
      <c r="G692" t="s">
        <v>26</v>
      </c>
      <c r="H692" t="s">
        <v>18</v>
      </c>
      <c r="I692" s="1">
        <v>1</v>
      </c>
      <c r="J692" s="1" t="str">
        <f t="shared" si="104"/>
        <v>0-5</v>
      </c>
      <c r="K692" s="1">
        <v>2</v>
      </c>
      <c r="L692" s="1" t="s">
        <v>1066</v>
      </c>
      <c r="M692" s="1" t="str">
        <f t="shared" si="105"/>
        <v>USD 30</v>
      </c>
      <c r="N692" s="1">
        <v>30</v>
      </c>
      <c r="O692" t="s">
        <v>1053</v>
      </c>
      <c r="P692" s="4">
        <f>[2]Sheet1!K692</f>
        <v>0.89</v>
      </c>
    </row>
    <row r="693" spans="1:16" x14ac:dyDescent="0.35">
      <c r="A693" t="s">
        <v>743</v>
      </c>
      <c r="B693" t="str">
        <f>TRIM([1]Sheet1!AD693)</f>
        <v>Natalie Diaz</v>
      </c>
      <c r="C693" t="str">
        <f>IF(UPPER(LEFT([1]Sheet1!W693,1))="F","FEMALE","MALE")</f>
        <v>FEMALE</v>
      </c>
      <c r="D693">
        <v>43</v>
      </c>
      <c r="E693" t="s">
        <v>67</v>
      </c>
      <c r="F693" t="s">
        <v>67</v>
      </c>
      <c r="G693" t="s">
        <v>68</v>
      </c>
      <c r="H693" t="s">
        <v>27</v>
      </c>
      <c r="I693" s="1">
        <v>7</v>
      </c>
      <c r="J693" s="1" t="str">
        <f t="shared" si="104"/>
        <v>5-10</v>
      </c>
      <c r="L693" s="1" t="s">
        <v>1065</v>
      </c>
      <c r="M693" s="1" t="str">
        <f t="shared" si="105"/>
        <v>USD 50</v>
      </c>
      <c r="N693" s="1">
        <v>50</v>
      </c>
      <c r="O693" t="s">
        <v>1054</v>
      </c>
      <c r="P693" s="4">
        <f>[2]Sheet1!K693</f>
        <v>0.8</v>
      </c>
    </row>
    <row r="694" spans="1:16" x14ac:dyDescent="0.35">
      <c r="A694" t="s">
        <v>744</v>
      </c>
      <c r="B694" t="str">
        <f>TRIM([1]Sheet1!AD694)</f>
        <v>Amanda Mitchell</v>
      </c>
      <c r="C694" t="str">
        <f>IF(UPPER(LEFT([1]Sheet1!W694,1))="F","FEMALE","MALE")</f>
        <v>FEMALE</v>
      </c>
      <c r="D694">
        <v>31</v>
      </c>
      <c r="E694" t="s">
        <v>74</v>
      </c>
      <c r="F694" t="s">
        <v>74</v>
      </c>
      <c r="G694" t="s">
        <v>75</v>
      </c>
      <c r="H694" t="s">
        <v>12</v>
      </c>
      <c r="J694" s="1" t="str">
        <f t="shared" si="104"/>
        <v>0-5</v>
      </c>
      <c r="K694" s="1">
        <v>1.4</v>
      </c>
      <c r="L694" s="1">
        <v>50</v>
      </c>
      <c r="M694" s="1">
        <f t="shared" si="105"/>
        <v>50</v>
      </c>
      <c r="N694" s="1">
        <f t="shared" ref="N694:N696" si="113">M694</f>
        <v>50</v>
      </c>
      <c r="O694" t="s">
        <v>1053</v>
      </c>
      <c r="P694" s="4">
        <f>[2]Sheet1!K694</f>
        <v>0.8</v>
      </c>
    </row>
    <row r="695" spans="1:16" x14ac:dyDescent="0.35">
      <c r="A695" t="s">
        <v>745</v>
      </c>
      <c r="B695" t="str">
        <f>TRIM([1]Sheet1!AD695)</f>
        <v>Karen Scott</v>
      </c>
      <c r="C695" t="str">
        <f>IF(UPPER(LEFT([1]Sheet1!W695,1))="F","FEMALE","MALE")</f>
        <v>FEMALE</v>
      </c>
      <c r="D695">
        <v>29</v>
      </c>
      <c r="E695" t="s">
        <v>14</v>
      </c>
      <c r="F695" t="s">
        <v>14</v>
      </c>
      <c r="G695" t="s">
        <v>15</v>
      </c>
      <c r="H695" t="s">
        <v>27</v>
      </c>
      <c r="I695" s="1">
        <v>6</v>
      </c>
      <c r="J695" s="1" t="str">
        <f t="shared" si="104"/>
        <v>5-10</v>
      </c>
      <c r="K695" s="1">
        <v>1.8</v>
      </c>
      <c r="L695" s="1">
        <v>100</v>
      </c>
      <c r="M695" s="1">
        <f t="shared" si="105"/>
        <v>100</v>
      </c>
      <c r="N695" s="1">
        <f t="shared" si="113"/>
        <v>100</v>
      </c>
      <c r="O695" t="s">
        <v>1053</v>
      </c>
    </row>
    <row r="696" spans="1:16" x14ac:dyDescent="0.35">
      <c r="A696" t="s">
        <v>746</v>
      </c>
      <c r="B696" t="str">
        <f>TRIM([1]Sheet1!AD696)</f>
        <v>Mary Brown</v>
      </c>
      <c r="C696" t="str">
        <f>IF(UPPER(LEFT([1]Sheet1!W696,1))="F","FEMALE","MALE")</f>
        <v>FEMALE</v>
      </c>
      <c r="D696">
        <v>53</v>
      </c>
      <c r="E696" t="s">
        <v>85</v>
      </c>
      <c r="F696" t="s">
        <v>85</v>
      </c>
      <c r="G696" t="s">
        <v>86</v>
      </c>
      <c r="H696" t="s">
        <v>16</v>
      </c>
      <c r="I696" s="1">
        <v>35</v>
      </c>
      <c r="J696" s="1" t="str">
        <f t="shared" si="104"/>
        <v>31+</v>
      </c>
      <c r="K696" s="1">
        <v>0</v>
      </c>
      <c r="M696" s="1">
        <f t="shared" si="105"/>
        <v>0</v>
      </c>
      <c r="N696" s="1">
        <f t="shared" si="113"/>
        <v>0</v>
      </c>
      <c r="O696" t="s">
        <v>1054</v>
      </c>
      <c r="P696" s="4">
        <f>[2]Sheet1!K696</f>
        <v>0.67</v>
      </c>
    </row>
    <row r="697" spans="1:16" x14ac:dyDescent="0.35">
      <c r="A697" t="s">
        <v>747</v>
      </c>
      <c r="B697" t="str">
        <f>TRIM([1]Sheet1!AD697)</f>
        <v>Jon Jones</v>
      </c>
      <c r="C697" t="str">
        <f>IF(UPPER(LEFT([1]Sheet1!W697,1))="F","FEMALE","MALE")</f>
        <v>MALE</v>
      </c>
      <c r="D697">
        <v>38</v>
      </c>
      <c r="E697" t="s">
        <v>50</v>
      </c>
      <c r="F697" t="s">
        <v>50</v>
      </c>
      <c r="G697" t="s">
        <v>51</v>
      </c>
      <c r="H697" t="s">
        <v>12</v>
      </c>
      <c r="I697" s="1">
        <v>1</v>
      </c>
      <c r="J697" s="1" t="str">
        <f t="shared" si="104"/>
        <v>0-5</v>
      </c>
      <c r="K697" s="1">
        <v>0</v>
      </c>
      <c r="L697" s="1" t="s">
        <v>1064</v>
      </c>
      <c r="M697" s="1" t="str">
        <f t="shared" si="105"/>
        <v>USD 40</v>
      </c>
      <c r="N697" s="1">
        <v>40</v>
      </c>
      <c r="O697" t="s">
        <v>1053</v>
      </c>
      <c r="P697" s="4">
        <f>[2]Sheet1!K697</f>
        <v>0.96</v>
      </c>
    </row>
    <row r="698" spans="1:16" x14ac:dyDescent="0.35">
      <c r="A698" t="s">
        <v>748</v>
      </c>
      <c r="B698" t="str">
        <f>TRIM([1]Sheet1!AD698)</f>
        <v>Jason Phillips</v>
      </c>
      <c r="C698" t="str">
        <f>IF(UPPER(LEFT([1]Sheet1!W698,1))="F","FEMALE","MALE")</f>
        <v>MALE</v>
      </c>
      <c r="D698">
        <v>29</v>
      </c>
      <c r="E698" t="s">
        <v>105</v>
      </c>
      <c r="F698" t="s">
        <v>105</v>
      </c>
      <c r="G698" t="s">
        <v>38</v>
      </c>
      <c r="H698" t="s">
        <v>16</v>
      </c>
      <c r="J698" s="1" t="str">
        <f t="shared" si="104"/>
        <v>0-5</v>
      </c>
      <c r="K698" s="1">
        <v>0</v>
      </c>
      <c r="L698" s="1">
        <v>20</v>
      </c>
      <c r="M698" s="1">
        <f t="shared" si="105"/>
        <v>20</v>
      </c>
      <c r="N698" s="1">
        <f t="shared" ref="N698:N700" si="114">M698</f>
        <v>20</v>
      </c>
      <c r="O698" t="s">
        <v>1053</v>
      </c>
      <c r="P698" s="4">
        <f>[2]Sheet1!K698</f>
        <v>0.9</v>
      </c>
    </row>
    <row r="699" spans="1:16" x14ac:dyDescent="0.35">
      <c r="A699" t="s">
        <v>749</v>
      </c>
      <c r="B699" t="str">
        <f>TRIM([1]Sheet1!AD699)</f>
        <v>Eric Walsh</v>
      </c>
      <c r="C699" t="str">
        <f>IF(UPPER(LEFT([1]Sheet1!W699,1))="F","FEMALE","MALE")</f>
        <v>MALE</v>
      </c>
      <c r="D699">
        <v>42</v>
      </c>
      <c r="E699" t="s">
        <v>60</v>
      </c>
      <c r="F699" t="s">
        <v>60</v>
      </c>
      <c r="G699" t="s">
        <v>61</v>
      </c>
      <c r="H699" t="s">
        <v>39</v>
      </c>
      <c r="I699" s="1">
        <v>0</v>
      </c>
      <c r="J699" s="1" t="str">
        <f t="shared" si="104"/>
        <v>0-5</v>
      </c>
      <c r="K699" s="1">
        <v>3.9</v>
      </c>
      <c r="M699" s="1">
        <f t="shared" si="105"/>
        <v>0</v>
      </c>
      <c r="N699" s="1">
        <f t="shared" si="114"/>
        <v>0</v>
      </c>
      <c r="O699" t="s">
        <v>1053</v>
      </c>
      <c r="P699" s="4">
        <f>[2]Sheet1!K699</f>
        <v>0.62</v>
      </c>
    </row>
    <row r="700" spans="1:16" x14ac:dyDescent="0.35">
      <c r="A700" t="s">
        <v>750</v>
      </c>
      <c r="B700" t="str">
        <f>TRIM([1]Sheet1!AD700)</f>
        <v>Carol Schneider</v>
      </c>
      <c r="C700" t="str">
        <f>IF(UPPER(LEFT([1]Sheet1!W700,1))="F","FEMALE","MALE")</f>
        <v>FEMALE</v>
      </c>
      <c r="D700">
        <v>54</v>
      </c>
      <c r="E700" t="s">
        <v>30</v>
      </c>
      <c r="F700" t="s">
        <v>30</v>
      </c>
      <c r="G700" t="s">
        <v>11</v>
      </c>
      <c r="H700" t="s">
        <v>62</v>
      </c>
      <c r="I700" s="1">
        <v>9</v>
      </c>
      <c r="J700" s="1" t="str">
        <f t="shared" si="104"/>
        <v>5-10</v>
      </c>
      <c r="L700" s="1">
        <v>100</v>
      </c>
      <c r="M700" s="1">
        <f t="shared" si="105"/>
        <v>100</v>
      </c>
      <c r="N700" s="1">
        <f t="shared" si="114"/>
        <v>100</v>
      </c>
      <c r="O700" t="s">
        <v>1053</v>
      </c>
      <c r="P700" s="4">
        <f>[2]Sheet1!K700</f>
        <v>0.72</v>
      </c>
    </row>
    <row r="701" spans="1:16" x14ac:dyDescent="0.35">
      <c r="A701" t="s">
        <v>751</v>
      </c>
      <c r="B701" t="str">
        <f>TRIM([1]Sheet1!AD701)</f>
        <v>Juan Hines</v>
      </c>
      <c r="C701" t="str">
        <f>IF(UPPER(LEFT([1]Sheet1!W701,1))="F","FEMALE","MALE")</f>
        <v>MALE</v>
      </c>
      <c r="D701">
        <v>56</v>
      </c>
      <c r="E701" t="s">
        <v>96</v>
      </c>
      <c r="F701" t="s">
        <v>96</v>
      </c>
      <c r="G701" t="s">
        <v>97</v>
      </c>
      <c r="H701" t="s">
        <v>39</v>
      </c>
      <c r="I701" s="1">
        <v>18</v>
      </c>
      <c r="J701" s="1" t="str">
        <f t="shared" si="104"/>
        <v xml:space="preserve"> 16-20</v>
      </c>
      <c r="K701" s="1">
        <v>4.4000000000000004</v>
      </c>
      <c r="L701" s="1" t="s">
        <v>1065</v>
      </c>
      <c r="M701" s="1" t="str">
        <f t="shared" si="105"/>
        <v>USD 50</v>
      </c>
      <c r="N701" s="1">
        <v>50</v>
      </c>
      <c r="O701" t="s">
        <v>1054</v>
      </c>
      <c r="P701" s="4">
        <f>[2]Sheet1!K701</f>
        <v>0.83</v>
      </c>
    </row>
    <row r="702" spans="1:16" x14ac:dyDescent="0.35">
      <c r="A702" t="s">
        <v>752</v>
      </c>
      <c r="B702" t="str">
        <f>TRIM([1]Sheet1!AD702)</f>
        <v>Martha Sweeney</v>
      </c>
      <c r="C702" t="str">
        <f>IF(UPPER(LEFT([1]Sheet1!W702,1))="F","FEMALE","MALE")</f>
        <v>FEMALE</v>
      </c>
      <c r="D702">
        <v>47</v>
      </c>
      <c r="E702" t="s">
        <v>32</v>
      </c>
      <c r="F702" t="s">
        <v>32</v>
      </c>
      <c r="G702" t="s">
        <v>33</v>
      </c>
      <c r="H702" t="s">
        <v>16</v>
      </c>
      <c r="I702" s="1">
        <v>22</v>
      </c>
      <c r="J702" s="1" t="str">
        <f t="shared" si="104"/>
        <v>21- 25</v>
      </c>
      <c r="K702" s="1">
        <v>4.4000000000000004</v>
      </c>
      <c r="L702" s="1">
        <v>100</v>
      </c>
      <c r="M702" s="1">
        <f t="shared" si="105"/>
        <v>100</v>
      </c>
      <c r="N702" s="1">
        <f t="shared" ref="N702:N705" si="115">M702</f>
        <v>100</v>
      </c>
      <c r="O702" t="s">
        <v>1053</v>
      </c>
      <c r="P702" s="4">
        <f>[2]Sheet1!K702</f>
        <v>0.7</v>
      </c>
    </row>
    <row r="703" spans="1:16" x14ac:dyDescent="0.35">
      <c r="A703" t="s">
        <v>753</v>
      </c>
      <c r="B703" t="str">
        <f>TRIM([1]Sheet1!AD703)</f>
        <v>Jason Weaver</v>
      </c>
      <c r="C703" t="str">
        <f>IF(UPPER(LEFT([1]Sheet1!W703,1))="F","FEMALE","MALE")</f>
        <v>MALE</v>
      </c>
      <c r="D703">
        <v>45</v>
      </c>
      <c r="E703" t="s">
        <v>67</v>
      </c>
      <c r="F703" t="s">
        <v>67</v>
      </c>
      <c r="G703" t="s">
        <v>68</v>
      </c>
      <c r="H703" t="s">
        <v>8</v>
      </c>
      <c r="I703" s="1">
        <v>25</v>
      </c>
      <c r="J703" s="1" t="str">
        <f t="shared" si="104"/>
        <v>21- 25</v>
      </c>
      <c r="K703" s="1">
        <v>0</v>
      </c>
      <c r="L703" s="1">
        <v>50</v>
      </c>
      <c r="M703" s="1">
        <f t="shared" si="105"/>
        <v>50</v>
      </c>
      <c r="N703" s="1">
        <f t="shared" si="115"/>
        <v>50</v>
      </c>
      <c r="O703" t="s">
        <v>1053</v>
      </c>
      <c r="P703" s="3">
        <f>[2]Sheet1!K703/100</f>
        <v>0.99</v>
      </c>
    </row>
    <row r="704" spans="1:16" x14ac:dyDescent="0.35">
      <c r="A704" t="s">
        <v>754</v>
      </c>
      <c r="B704" t="str">
        <f>TRIM([1]Sheet1!AD704)</f>
        <v>Benjamin Stevens</v>
      </c>
      <c r="C704" t="str">
        <f>IF(UPPER(LEFT([1]Sheet1!W704,1))="F","FEMALE","MALE")</f>
        <v>MALE</v>
      </c>
      <c r="D704">
        <v>45</v>
      </c>
      <c r="E704" t="s">
        <v>96</v>
      </c>
      <c r="F704" t="s">
        <v>96</v>
      </c>
      <c r="G704" t="s">
        <v>97</v>
      </c>
      <c r="H704" t="s">
        <v>27</v>
      </c>
      <c r="I704" s="1">
        <v>6</v>
      </c>
      <c r="J704" s="1" t="str">
        <f t="shared" si="104"/>
        <v>5-10</v>
      </c>
      <c r="K704" s="1">
        <v>1.4</v>
      </c>
      <c r="L704" s="1">
        <v>50</v>
      </c>
      <c r="M704" s="1">
        <f t="shared" si="105"/>
        <v>50</v>
      </c>
      <c r="N704" s="1">
        <f t="shared" si="115"/>
        <v>50</v>
      </c>
      <c r="P704" s="3">
        <f>[2]Sheet1!K704/100</f>
        <v>0.97</v>
      </c>
    </row>
    <row r="705" spans="1:16" x14ac:dyDescent="0.35">
      <c r="A705" t="s">
        <v>755</v>
      </c>
      <c r="B705" t="str">
        <f>TRIM([1]Sheet1!AD705)</f>
        <v>Daniel Lopez</v>
      </c>
      <c r="C705" t="str">
        <f>IF(UPPER(LEFT([1]Sheet1!W705,1))="F","FEMALE","MALE")</f>
        <v>MALE</v>
      </c>
      <c r="D705">
        <v>35</v>
      </c>
      <c r="E705" t="s">
        <v>70</v>
      </c>
      <c r="F705" t="s">
        <v>70</v>
      </c>
      <c r="G705" t="s">
        <v>11</v>
      </c>
      <c r="H705" t="s">
        <v>62</v>
      </c>
      <c r="I705" s="1">
        <v>10</v>
      </c>
      <c r="J705" s="1" t="str">
        <f t="shared" si="104"/>
        <v>5-10</v>
      </c>
      <c r="K705" s="1">
        <v>3.2</v>
      </c>
      <c r="L705" s="1">
        <v>20</v>
      </c>
      <c r="M705" s="1">
        <f t="shared" si="105"/>
        <v>20</v>
      </c>
      <c r="N705" s="1">
        <f t="shared" si="115"/>
        <v>20</v>
      </c>
      <c r="O705" t="s">
        <v>1054</v>
      </c>
      <c r="P705" s="4">
        <f>[2]Sheet1!K705</f>
        <v>0.77</v>
      </c>
    </row>
    <row r="706" spans="1:16" x14ac:dyDescent="0.35">
      <c r="A706" t="s">
        <v>756</v>
      </c>
      <c r="B706" t="str">
        <f>TRIM([1]Sheet1!AD706)</f>
        <v>John Simpson</v>
      </c>
      <c r="C706" t="str">
        <f>IF(UPPER(LEFT([1]Sheet1!W706,1))="F","FEMALE","MALE")</f>
        <v>MALE</v>
      </c>
      <c r="D706">
        <v>51</v>
      </c>
      <c r="E706" t="s">
        <v>70</v>
      </c>
      <c r="F706" t="s">
        <v>70</v>
      </c>
      <c r="G706" t="s">
        <v>11</v>
      </c>
      <c r="H706" t="s">
        <v>48</v>
      </c>
      <c r="I706" s="1">
        <v>4</v>
      </c>
      <c r="J706" s="1" t="str">
        <f t="shared" ref="J706:J769" si="116">_xlfn.IFS(I706&lt;=5,"0-5",I706&lt;=10,"5-10",I706&lt;=16,"11-16",I706&lt;=20," 16-20",I706&lt;=25,"21- 25",I706&lt;=30,"26-30",I706&gt;30,"31+")</f>
        <v>0-5</v>
      </c>
      <c r="K706" s="1">
        <v>2</v>
      </c>
      <c r="L706" s="1" t="s">
        <v>1065</v>
      </c>
      <c r="M706" s="1" t="str">
        <f t="shared" si="105"/>
        <v>USD 50</v>
      </c>
      <c r="N706" s="1">
        <v>50</v>
      </c>
      <c r="O706" t="s">
        <v>1053</v>
      </c>
      <c r="P706" s="4">
        <f>[2]Sheet1!K706</f>
        <v>0.92</v>
      </c>
    </row>
    <row r="707" spans="1:16" x14ac:dyDescent="0.35">
      <c r="A707" t="s">
        <v>757</v>
      </c>
      <c r="B707" t="str">
        <f>TRIM([1]Sheet1!AD707)</f>
        <v>Katrina Schultz</v>
      </c>
      <c r="C707" t="str">
        <f>IF(UPPER(LEFT([1]Sheet1!W707,1))="F","FEMALE","MALE")</f>
        <v>FEMALE</v>
      </c>
      <c r="D707">
        <v>34</v>
      </c>
      <c r="E707" t="s">
        <v>105</v>
      </c>
      <c r="F707" t="s">
        <v>105</v>
      </c>
      <c r="G707" t="s">
        <v>38</v>
      </c>
      <c r="H707" t="s">
        <v>12</v>
      </c>
      <c r="I707" s="1">
        <v>11</v>
      </c>
      <c r="J707" s="1" t="str">
        <f t="shared" si="116"/>
        <v>11-16</v>
      </c>
      <c r="K707" s="1">
        <v>3.3</v>
      </c>
      <c r="L707" s="1">
        <v>50</v>
      </c>
      <c r="M707" s="1">
        <f t="shared" ref="M707:M770" si="117">L707</f>
        <v>50</v>
      </c>
      <c r="N707" s="1">
        <f t="shared" ref="N707:N708" si="118">M707</f>
        <v>50</v>
      </c>
      <c r="O707" t="s">
        <v>1054</v>
      </c>
      <c r="P707" s="4">
        <f>[2]Sheet1!K707</f>
        <v>0.76</v>
      </c>
    </row>
    <row r="708" spans="1:16" x14ac:dyDescent="0.35">
      <c r="A708" t="s">
        <v>758</v>
      </c>
      <c r="B708" t="str">
        <f>TRIM([1]Sheet1!AD708)</f>
        <v>Danielle Bell</v>
      </c>
      <c r="C708" t="str">
        <f>IF(UPPER(LEFT([1]Sheet1!W708,1))="F","FEMALE","MALE")</f>
        <v>FEMALE</v>
      </c>
      <c r="D708">
        <v>51</v>
      </c>
      <c r="E708" t="s">
        <v>25</v>
      </c>
      <c r="F708" t="s">
        <v>25</v>
      </c>
      <c r="G708" t="s">
        <v>26</v>
      </c>
      <c r="H708" t="s">
        <v>16</v>
      </c>
      <c r="I708" s="1">
        <v>1</v>
      </c>
      <c r="J708" s="1" t="str">
        <f t="shared" si="116"/>
        <v>0-5</v>
      </c>
      <c r="K708" s="1">
        <v>0</v>
      </c>
      <c r="L708" s="2">
        <v>50</v>
      </c>
      <c r="M708" s="1">
        <f t="shared" si="117"/>
        <v>50</v>
      </c>
      <c r="N708" s="1">
        <f t="shared" si="118"/>
        <v>50</v>
      </c>
      <c r="O708" t="s">
        <v>1054</v>
      </c>
      <c r="P708" s="4">
        <f>[2]Sheet1!K708</f>
        <v>0.97</v>
      </c>
    </row>
    <row r="709" spans="1:16" x14ac:dyDescent="0.35">
      <c r="A709" t="s">
        <v>759</v>
      </c>
      <c r="B709" t="str">
        <f>TRIM([1]Sheet1!AD709)</f>
        <v>Jason Brady</v>
      </c>
      <c r="C709" t="str">
        <f>IF(UPPER(LEFT([1]Sheet1!W709,1))="F","FEMALE","MALE")</f>
        <v>MALE</v>
      </c>
      <c r="D709">
        <v>58</v>
      </c>
      <c r="E709" t="s">
        <v>77</v>
      </c>
      <c r="F709" t="s">
        <v>77</v>
      </c>
      <c r="G709" t="s">
        <v>78</v>
      </c>
      <c r="H709" t="s">
        <v>16</v>
      </c>
      <c r="I709" s="1">
        <v>35</v>
      </c>
      <c r="J709" s="1" t="str">
        <f t="shared" si="116"/>
        <v>31+</v>
      </c>
      <c r="K709" s="1">
        <v>2.2999999999999998</v>
      </c>
      <c r="L709" s="1" t="s">
        <v>1062</v>
      </c>
      <c r="M709" s="1" t="str">
        <f t="shared" si="117"/>
        <v>USD 100</v>
      </c>
      <c r="N709" s="1">
        <v>100</v>
      </c>
      <c r="O709" t="s">
        <v>1054</v>
      </c>
    </row>
    <row r="710" spans="1:16" x14ac:dyDescent="0.35">
      <c r="A710" t="s">
        <v>760</v>
      </c>
      <c r="B710" t="str">
        <f>TRIM([1]Sheet1!AD710)</f>
        <v>Megan Bright</v>
      </c>
      <c r="C710" t="str">
        <f>IF(UPPER(LEFT([1]Sheet1!W710,1))="F","FEMALE","MALE")</f>
        <v>FEMALE</v>
      </c>
      <c r="D710">
        <v>36</v>
      </c>
      <c r="E710" t="s">
        <v>21</v>
      </c>
      <c r="F710" t="s">
        <v>21</v>
      </c>
      <c r="G710" t="s">
        <v>22</v>
      </c>
      <c r="H710" t="s">
        <v>18</v>
      </c>
      <c r="I710" s="1">
        <v>17</v>
      </c>
      <c r="J710" s="1" t="str">
        <f t="shared" si="116"/>
        <v xml:space="preserve"> 16-20</v>
      </c>
      <c r="K710" s="1">
        <v>0</v>
      </c>
      <c r="L710" s="2">
        <v>20</v>
      </c>
      <c r="M710" s="1">
        <f t="shared" si="117"/>
        <v>20</v>
      </c>
      <c r="N710" s="1">
        <f t="shared" ref="N710:N722" si="119">M710</f>
        <v>20</v>
      </c>
      <c r="O710" t="s">
        <v>1054</v>
      </c>
      <c r="P710" s="3">
        <f>[2]Sheet1!K710/100</f>
        <v>0.99</v>
      </c>
    </row>
    <row r="711" spans="1:16" x14ac:dyDescent="0.35">
      <c r="A711" t="s">
        <v>761</v>
      </c>
      <c r="B711" t="str">
        <f>TRIM([1]Sheet1!AD711)</f>
        <v>David Griffin</v>
      </c>
      <c r="C711" t="str">
        <f>IF(UPPER(LEFT([1]Sheet1!W711,1))="F","FEMALE","MALE")</f>
        <v>MALE</v>
      </c>
      <c r="E711" t="s">
        <v>67</v>
      </c>
      <c r="F711" t="s">
        <v>67</v>
      </c>
      <c r="G711" t="s">
        <v>68</v>
      </c>
      <c r="H711" t="s">
        <v>23</v>
      </c>
      <c r="I711" s="1">
        <v>12</v>
      </c>
      <c r="J711" s="1" t="str">
        <f t="shared" si="116"/>
        <v>11-16</v>
      </c>
      <c r="K711" s="1">
        <v>2.6</v>
      </c>
      <c r="L711" s="1">
        <v>30</v>
      </c>
      <c r="M711" s="1">
        <f t="shared" si="117"/>
        <v>30</v>
      </c>
      <c r="N711" s="1">
        <f t="shared" si="119"/>
        <v>30</v>
      </c>
      <c r="O711" t="s">
        <v>1054</v>
      </c>
    </row>
    <row r="712" spans="1:16" x14ac:dyDescent="0.35">
      <c r="A712" t="s">
        <v>762</v>
      </c>
      <c r="B712" t="str">
        <f>TRIM([1]Sheet1!AD712)</f>
        <v>Michael Clark</v>
      </c>
      <c r="C712" t="str">
        <f>IF(UPPER(LEFT([1]Sheet1!W712,1))="F","FEMALE","MALE")</f>
        <v>MALE</v>
      </c>
      <c r="D712">
        <v>56</v>
      </c>
      <c r="E712" t="s">
        <v>85</v>
      </c>
      <c r="F712" t="s">
        <v>85</v>
      </c>
      <c r="G712" t="s">
        <v>86</v>
      </c>
      <c r="H712" t="s">
        <v>62</v>
      </c>
      <c r="I712" s="1">
        <v>30</v>
      </c>
      <c r="J712" s="1" t="str">
        <f t="shared" si="116"/>
        <v>26-30</v>
      </c>
      <c r="K712" s="1">
        <v>3.3</v>
      </c>
      <c r="L712" s="1">
        <v>40</v>
      </c>
      <c r="M712" s="1">
        <f t="shared" si="117"/>
        <v>40</v>
      </c>
      <c r="N712" s="1">
        <f t="shared" si="119"/>
        <v>40</v>
      </c>
      <c r="O712" t="s">
        <v>1054</v>
      </c>
      <c r="P712" s="4">
        <f>[2]Sheet1!K712</f>
        <v>0.82</v>
      </c>
    </row>
    <row r="713" spans="1:16" x14ac:dyDescent="0.35">
      <c r="A713" t="s">
        <v>763</v>
      </c>
      <c r="B713" t="str">
        <f>TRIM([1]Sheet1!AD713)</f>
        <v>Rebecca Barker</v>
      </c>
      <c r="C713" t="str">
        <f>IF(UPPER(LEFT([1]Sheet1!W713,1))="F","FEMALE","MALE")</f>
        <v>FEMALE</v>
      </c>
      <c r="D713">
        <v>58</v>
      </c>
      <c r="E713" t="s">
        <v>70</v>
      </c>
      <c r="F713" t="s">
        <v>70</v>
      </c>
      <c r="G713" t="s">
        <v>11</v>
      </c>
      <c r="H713" t="s">
        <v>41</v>
      </c>
      <c r="I713" s="1">
        <v>20</v>
      </c>
      <c r="J713" s="1" t="str">
        <f t="shared" si="116"/>
        <v xml:space="preserve"> 16-20</v>
      </c>
      <c r="K713" s="1">
        <v>3.6</v>
      </c>
      <c r="L713" s="1">
        <v>75</v>
      </c>
      <c r="M713" s="1">
        <f t="shared" si="117"/>
        <v>75</v>
      </c>
      <c r="N713" s="1">
        <f t="shared" si="119"/>
        <v>75</v>
      </c>
      <c r="O713" t="s">
        <v>1054</v>
      </c>
      <c r="P713" s="4">
        <f>[2]Sheet1!K713</f>
        <v>0.78</v>
      </c>
    </row>
    <row r="714" spans="1:16" x14ac:dyDescent="0.35">
      <c r="A714" t="s">
        <v>764</v>
      </c>
      <c r="B714" t="str">
        <f>TRIM([1]Sheet1!AD714)</f>
        <v>Angela Smith</v>
      </c>
      <c r="C714" t="str">
        <f>IF(UPPER(LEFT([1]Sheet1!W714,1))="F","FEMALE","MALE")</f>
        <v>FEMALE</v>
      </c>
      <c r="D714">
        <v>58</v>
      </c>
      <c r="E714" t="s">
        <v>30</v>
      </c>
      <c r="F714" t="s">
        <v>30</v>
      </c>
      <c r="G714" t="s">
        <v>11</v>
      </c>
      <c r="H714" t="s">
        <v>41</v>
      </c>
      <c r="I714" s="1">
        <v>22</v>
      </c>
      <c r="J714" s="1" t="str">
        <f t="shared" si="116"/>
        <v>21- 25</v>
      </c>
      <c r="K714" s="1">
        <v>3.7</v>
      </c>
      <c r="L714" s="1">
        <v>100</v>
      </c>
      <c r="M714" s="1">
        <f t="shared" si="117"/>
        <v>100</v>
      </c>
      <c r="N714" s="1">
        <f t="shared" si="119"/>
        <v>100</v>
      </c>
      <c r="O714" t="s">
        <v>1053</v>
      </c>
    </row>
    <row r="715" spans="1:16" x14ac:dyDescent="0.35">
      <c r="A715" t="s">
        <v>765</v>
      </c>
      <c r="B715" t="str">
        <f>TRIM([1]Sheet1!AD715)</f>
        <v>Christina Wright</v>
      </c>
      <c r="C715" t="str">
        <f>IF(UPPER(LEFT([1]Sheet1!W715,1))="F","FEMALE","MALE")</f>
        <v>FEMALE</v>
      </c>
      <c r="D715">
        <v>54</v>
      </c>
      <c r="E715" t="s">
        <v>35</v>
      </c>
      <c r="F715" t="s">
        <v>35</v>
      </c>
      <c r="G715" t="s">
        <v>11</v>
      </c>
      <c r="H715" t="s">
        <v>23</v>
      </c>
      <c r="I715" s="1">
        <v>32</v>
      </c>
      <c r="J715" s="1" t="str">
        <f t="shared" si="116"/>
        <v>31+</v>
      </c>
      <c r="K715" s="1">
        <v>3.4</v>
      </c>
      <c r="L715" s="2">
        <v>20</v>
      </c>
      <c r="M715" s="1">
        <f t="shared" si="117"/>
        <v>20</v>
      </c>
      <c r="N715" s="1">
        <f t="shared" si="119"/>
        <v>20</v>
      </c>
      <c r="O715" t="s">
        <v>1053</v>
      </c>
    </row>
    <row r="716" spans="1:16" x14ac:dyDescent="0.35">
      <c r="A716" t="s">
        <v>766</v>
      </c>
      <c r="B716" t="str">
        <f>TRIM([1]Sheet1!AD716)</f>
        <v>Todd Turner</v>
      </c>
      <c r="C716" t="str">
        <f>IF(UPPER(LEFT([1]Sheet1!W716,1))="F","FEMALE","MALE")</f>
        <v>MALE</v>
      </c>
      <c r="D716">
        <v>53</v>
      </c>
      <c r="E716" t="s">
        <v>10</v>
      </c>
      <c r="F716" t="s">
        <v>10</v>
      </c>
      <c r="G716" t="s">
        <v>11</v>
      </c>
      <c r="H716" t="s">
        <v>39</v>
      </c>
      <c r="I716" s="1">
        <v>9</v>
      </c>
      <c r="J716" s="1" t="str">
        <f t="shared" si="116"/>
        <v>5-10</v>
      </c>
      <c r="K716" s="1">
        <v>4</v>
      </c>
      <c r="L716" s="1">
        <v>50</v>
      </c>
      <c r="M716" s="1">
        <f t="shared" si="117"/>
        <v>50</v>
      </c>
      <c r="N716" s="1">
        <f t="shared" si="119"/>
        <v>50</v>
      </c>
      <c r="O716" t="s">
        <v>1054</v>
      </c>
      <c r="P716" s="4">
        <f>[2]Sheet1!K716</f>
        <v>0.72</v>
      </c>
    </row>
    <row r="717" spans="1:16" x14ac:dyDescent="0.35">
      <c r="A717" t="s">
        <v>767</v>
      </c>
      <c r="B717" t="str">
        <f>TRIM([1]Sheet1!AD717)</f>
        <v>Elizabeth Green</v>
      </c>
      <c r="C717" t="str">
        <f>IF(UPPER(LEFT([1]Sheet1!W717,1))="F","FEMALE","MALE")</f>
        <v>FEMALE</v>
      </c>
      <c r="D717">
        <v>43</v>
      </c>
      <c r="E717" t="s">
        <v>10</v>
      </c>
      <c r="F717" t="s">
        <v>10</v>
      </c>
      <c r="G717" t="s">
        <v>11</v>
      </c>
      <c r="H717" t="s">
        <v>18</v>
      </c>
      <c r="I717" s="1">
        <v>22</v>
      </c>
      <c r="J717" s="1" t="str">
        <f t="shared" si="116"/>
        <v>21- 25</v>
      </c>
      <c r="K717" s="1">
        <v>4.5</v>
      </c>
      <c r="L717" s="1">
        <v>40</v>
      </c>
      <c r="M717" s="1">
        <f t="shared" si="117"/>
        <v>40</v>
      </c>
      <c r="N717" s="1">
        <f t="shared" si="119"/>
        <v>40</v>
      </c>
    </row>
    <row r="718" spans="1:16" x14ac:dyDescent="0.35">
      <c r="A718" t="s">
        <v>768</v>
      </c>
      <c r="B718" t="str">
        <f>TRIM([1]Sheet1!AD718)</f>
        <v>Alex Smith</v>
      </c>
      <c r="C718" t="str">
        <f>IF(UPPER(LEFT([1]Sheet1!W718,1))="F","FEMALE","MALE")</f>
        <v>MALE</v>
      </c>
      <c r="D718">
        <v>44</v>
      </c>
      <c r="E718" t="s">
        <v>60</v>
      </c>
      <c r="F718" t="s">
        <v>60</v>
      </c>
      <c r="G718" t="s">
        <v>61</v>
      </c>
      <c r="H718" t="s">
        <v>62</v>
      </c>
      <c r="I718" s="1">
        <v>1</v>
      </c>
      <c r="J718" s="1" t="str">
        <f t="shared" si="116"/>
        <v>0-5</v>
      </c>
      <c r="K718" s="1">
        <v>4.3</v>
      </c>
      <c r="L718" s="1">
        <v>75</v>
      </c>
      <c r="M718" s="1">
        <f t="shared" si="117"/>
        <v>75</v>
      </c>
      <c r="N718" s="1">
        <f t="shared" si="119"/>
        <v>75</v>
      </c>
      <c r="O718" t="s">
        <v>1054</v>
      </c>
    </row>
    <row r="719" spans="1:16" x14ac:dyDescent="0.35">
      <c r="A719" t="s">
        <v>769</v>
      </c>
      <c r="B719" t="str">
        <f>TRIM([1]Sheet1!AD719)</f>
        <v>Shane Hale</v>
      </c>
      <c r="C719" t="str">
        <f>IF(UPPER(LEFT([1]Sheet1!W719,1))="F","FEMALE","MALE")</f>
        <v>MALE</v>
      </c>
      <c r="D719">
        <v>34</v>
      </c>
      <c r="E719" t="s">
        <v>70</v>
      </c>
      <c r="F719" t="s">
        <v>70</v>
      </c>
      <c r="G719" t="s">
        <v>11</v>
      </c>
      <c r="H719" t="s">
        <v>41</v>
      </c>
      <c r="I719" s="1">
        <v>4</v>
      </c>
      <c r="J719" s="1" t="str">
        <f t="shared" si="116"/>
        <v>0-5</v>
      </c>
      <c r="K719" s="1">
        <v>4</v>
      </c>
      <c r="L719" s="1">
        <v>75</v>
      </c>
      <c r="M719" s="1">
        <f t="shared" si="117"/>
        <v>75</v>
      </c>
      <c r="N719" s="1">
        <f t="shared" si="119"/>
        <v>75</v>
      </c>
      <c r="O719" t="s">
        <v>1054</v>
      </c>
    </row>
    <row r="720" spans="1:16" x14ac:dyDescent="0.35">
      <c r="A720" t="s">
        <v>770</v>
      </c>
      <c r="B720" t="str">
        <f>TRIM([1]Sheet1!AD720)</f>
        <v>Kathy Grimes</v>
      </c>
      <c r="C720" t="str">
        <f>IF(UPPER(LEFT([1]Sheet1!W720,1))="F","FEMALE","MALE")</f>
        <v>FEMALE</v>
      </c>
      <c r="D720">
        <v>27</v>
      </c>
      <c r="E720" t="s">
        <v>57</v>
      </c>
      <c r="F720" t="s">
        <v>57</v>
      </c>
      <c r="G720" t="s">
        <v>58</v>
      </c>
      <c r="H720" t="s">
        <v>12</v>
      </c>
      <c r="I720" s="1">
        <v>8</v>
      </c>
      <c r="J720" s="1" t="str">
        <f t="shared" si="116"/>
        <v>5-10</v>
      </c>
      <c r="K720" s="1">
        <v>1.6</v>
      </c>
      <c r="L720" s="2">
        <v>50</v>
      </c>
      <c r="M720" s="1">
        <f t="shared" si="117"/>
        <v>50</v>
      </c>
      <c r="N720" s="1">
        <f t="shared" si="119"/>
        <v>50</v>
      </c>
      <c r="O720" t="s">
        <v>1054</v>
      </c>
    </row>
    <row r="721" spans="1:16" x14ac:dyDescent="0.35">
      <c r="A721" t="s">
        <v>771</v>
      </c>
      <c r="B721" t="str">
        <f>TRIM([1]Sheet1!AD721)</f>
        <v>David Cherry</v>
      </c>
      <c r="C721" t="str">
        <f>IF(UPPER(LEFT([1]Sheet1!W721,1))="F","FEMALE","MALE")</f>
        <v>MALE</v>
      </c>
      <c r="D721">
        <v>50</v>
      </c>
      <c r="E721" t="s">
        <v>45</v>
      </c>
      <c r="F721" t="s">
        <v>45</v>
      </c>
      <c r="G721" t="s">
        <v>46</v>
      </c>
      <c r="H721" t="s">
        <v>27</v>
      </c>
      <c r="I721" s="1">
        <v>3</v>
      </c>
      <c r="J721" s="1" t="str">
        <f t="shared" si="116"/>
        <v>0-5</v>
      </c>
      <c r="K721" s="1">
        <v>0</v>
      </c>
      <c r="L721" s="1">
        <v>100</v>
      </c>
      <c r="M721" s="1">
        <f t="shared" si="117"/>
        <v>100</v>
      </c>
      <c r="N721" s="1">
        <f t="shared" si="119"/>
        <v>100</v>
      </c>
      <c r="O721" t="s">
        <v>1054</v>
      </c>
    </row>
    <row r="722" spans="1:16" x14ac:dyDescent="0.35">
      <c r="A722" t="s">
        <v>772</v>
      </c>
      <c r="B722" t="str">
        <f>TRIM([1]Sheet1!AD722)</f>
        <v>Rachel Rogers</v>
      </c>
      <c r="C722" t="str">
        <f>IF(UPPER(LEFT([1]Sheet1!W722,1))="F","FEMALE","MALE")</f>
        <v>FEMALE</v>
      </c>
      <c r="D722">
        <v>52</v>
      </c>
      <c r="E722" t="s">
        <v>60</v>
      </c>
      <c r="F722" t="s">
        <v>60</v>
      </c>
      <c r="G722" t="s">
        <v>61</v>
      </c>
      <c r="H722" t="s">
        <v>39</v>
      </c>
      <c r="I722" s="1">
        <v>30</v>
      </c>
      <c r="J722" s="1" t="str">
        <f t="shared" si="116"/>
        <v>26-30</v>
      </c>
      <c r="L722" s="1">
        <v>75</v>
      </c>
      <c r="M722" s="1">
        <f t="shared" si="117"/>
        <v>75</v>
      </c>
      <c r="N722" s="1">
        <f t="shared" si="119"/>
        <v>75</v>
      </c>
      <c r="O722" t="s">
        <v>1053</v>
      </c>
      <c r="P722" s="4">
        <f>[2]Sheet1!K722</f>
        <v>0.94</v>
      </c>
    </row>
    <row r="723" spans="1:16" x14ac:dyDescent="0.35">
      <c r="A723" t="s">
        <v>773</v>
      </c>
      <c r="B723" t="str">
        <f>TRIM([1]Sheet1!AD723)</f>
        <v>Travis Braun</v>
      </c>
      <c r="C723" t="str">
        <f>IF(UPPER(LEFT([1]Sheet1!W723,1))="F","FEMALE","MALE")</f>
        <v>MALE</v>
      </c>
      <c r="D723">
        <v>57</v>
      </c>
      <c r="E723" t="s">
        <v>105</v>
      </c>
      <c r="F723" t="s">
        <v>105</v>
      </c>
      <c r="G723" t="s">
        <v>38</v>
      </c>
      <c r="H723" t="s">
        <v>8</v>
      </c>
      <c r="I723" s="1">
        <v>11</v>
      </c>
      <c r="J723" s="1" t="str">
        <f t="shared" si="116"/>
        <v>11-16</v>
      </c>
      <c r="K723" s="1">
        <v>4.9000000000000004</v>
      </c>
      <c r="L723" s="1" t="s">
        <v>1067</v>
      </c>
      <c r="M723" s="1" t="str">
        <f t="shared" si="117"/>
        <v>USD 20</v>
      </c>
      <c r="N723" s="1">
        <v>20</v>
      </c>
      <c r="O723" t="s">
        <v>1054</v>
      </c>
    </row>
    <row r="724" spans="1:16" x14ac:dyDescent="0.35">
      <c r="A724" t="s">
        <v>774</v>
      </c>
      <c r="B724" t="str">
        <f>TRIM([1]Sheet1!AD724)</f>
        <v>Shawna Palmer</v>
      </c>
      <c r="C724" t="str">
        <f>IF(UPPER(LEFT([1]Sheet1!W724,1))="F","FEMALE","MALE")</f>
        <v>FEMALE</v>
      </c>
      <c r="D724">
        <v>53</v>
      </c>
      <c r="E724" t="s">
        <v>99</v>
      </c>
      <c r="F724" t="s">
        <v>99</v>
      </c>
      <c r="G724" t="s">
        <v>38</v>
      </c>
      <c r="H724" t="s">
        <v>48</v>
      </c>
      <c r="I724" s="1">
        <v>8</v>
      </c>
      <c r="J724" s="1" t="str">
        <f t="shared" si="116"/>
        <v>5-10</v>
      </c>
      <c r="K724" s="1">
        <v>2.8</v>
      </c>
      <c r="L724" s="1">
        <v>20</v>
      </c>
      <c r="M724" s="1">
        <f t="shared" si="117"/>
        <v>20</v>
      </c>
      <c r="N724" s="1">
        <f>M724</f>
        <v>20</v>
      </c>
      <c r="O724" t="s">
        <v>1054</v>
      </c>
    </row>
    <row r="725" spans="1:16" x14ac:dyDescent="0.35">
      <c r="A725" t="s">
        <v>775</v>
      </c>
      <c r="B725" t="str">
        <f>TRIM([1]Sheet1!AD725)</f>
        <v>Bradley Gaines</v>
      </c>
      <c r="C725" t="str">
        <f>IF(UPPER(LEFT([1]Sheet1!W725,1))="F","FEMALE","MALE")</f>
        <v>MALE</v>
      </c>
      <c r="D725">
        <v>51</v>
      </c>
      <c r="E725" t="s">
        <v>32</v>
      </c>
      <c r="F725" t="s">
        <v>32</v>
      </c>
      <c r="G725" t="s">
        <v>33</v>
      </c>
      <c r="H725" t="s">
        <v>39</v>
      </c>
      <c r="I725" s="1">
        <v>11</v>
      </c>
      <c r="J725" s="1" t="str">
        <f t="shared" si="116"/>
        <v>11-16</v>
      </c>
      <c r="K725" s="1">
        <v>3.6</v>
      </c>
      <c r="L725" s="1" t="s">
        <v>1066</v>
      </c>
      <c r="M725" s="1" t="str">
        <f t="shared" si="117"/>
        <v>USD 30</v>
      </c>
      <c r="N725" s="1">
        <v>30</v>
      </c>
      <c r="O725" t="s">
        <v>1054</v>
      </c>
      <c r="P725" s="4">
        <f>[2]Sheet1!K725</f>
        <v>0.77</v>
      </c>
    </row>
    <row r="726" spans="1:16" x14ac:dyDescent="0.35">
      <c r="A726" t="s">
        <v>776</v>
      </c>
      <c r="B726" t="str">
        <f>TRIM([1]Sheet1!AD726)</f>
        <v>April Ford</v>
      </c>
      <c r="C726" t="str">
        <f>IF(UPPER(LEFT([1]Sheet1!W726,1))="F","FEMALE","MALE")</f>
        <v>FEMALE</v>
      </c>
      <c r="D726">
        <v>37</v>
      </c>
      <c r="E726" t="s">
        <v>70</v>
      </c>
      <c r="F726" t="s">
        <v>70</v>
      </c>
      <c r="G726" t="s">
        <v>11</v>
      </c>
      <c r="H726" t="s">
        <v>41</v>
      </c>
      <c r="I726" s="1">
        <v>9</v>
      </c>
      <c r="J726" s="1" t="str">
        <f t="shared" si="116"/>
        <v>5-10</v>
      </c>
      <c r="L726" s="2">
        <v>50</v>
      </c>
      <c r="M726" s="1">
        <f t="shared" si="117"/>
        <v>50</v>
      </c>
      <c r="N726" s="1">
        <f t="shared" ref="N726:N727" si="120">M726</f>
        <v>50</v>
      </c>
      <c r="O726" t="s">
        <v>1054</v>
      </c>
      <c r="P726" s="3">
        <f>[2]Sheet1!K726/100</f>
        <v>0.84</v>
      </c>
    </row>
    <row r="727" spans="1:16" x14ac:dyDescent="0.35">
      <c r="A727" t="s">
        <v>777</v>
      </c>
      <c r="B727" t="str">
        <f>TRIM([1]Sheet1!AD727)</f>
        <v>James Gonzalez</v>
      </c>
      <c r="C727" t="str">
        <f>IF(UPPER(LEFT([1]Sheet1!W727,1))="F","FEMALE","MALE")</f>
        <v>MALE</v>
      </c>
      <c r="D727">
        <v>40</v>
      </c>
      <c r="E727" t="s">
        <v>105</v>
      </c>
      <c r="F727" t="s">
        <v>105</v>
      </c>
      <c r="G727" t="s">
        <v>38</v>
      </c>
      <c r="H727" t="s">
        <v>18</v>
      </c>
      <c r="I727" s="1">
        <v>7</v>
      </c>
      <c r="J727" s="1" t="str">
        <f t="shared" si="116"/>
        <v>5-10</v>
      </c>
      <c r="K727" s="1">
        <v>4.5</v>
      </c>
      <c r="L727" s="1">
        <v>40</v>
      </c>
      <c r="M727" s="1">
        <f t="shared" si="117"/>
        <v>40</v>
      </c>
      <c r="N727" s="1">
        <f t="shared" si="120"/>
        <v>40</v>
      </c>
      <c r="P727" s="3">
        <f>[2]Sheet1!K727/100</f>
        <v>0.79</v>
      </c>
    </row>
    <row r="728" spans="1:16" x14ac:dyDescent="0.35">
      <c r="A728" t="s">
        <v>778</v>
      </c>
      <c r="B728" t="str">
        <f>TRIM([1]Sheet1!AD728)</f>
        <v>John Castillo</v>
      </c>
      <c r="C728" t="str">
        <f>IF(UPPER(LEFT([1]Sheet1!W728,1))="F","FEMALE","MALE")</f>
        <v>MALE</v>
      </c>
      <c r="D728">
        <v>60</v>
      </c>
      <c r="E728" t="s">
        <v>45</v>
      </c>
      <c r="F728" t="s">
        <v>45</v>
      </c>
      <c r="G728" t="s">
        <v>46</v>
      </c>
      <c r="H728" t="s">
        <v>27</v>
      </c>
      <c r="I728" s="1">
        <v>24</v>
      </c>
      <c r="J728" s="1" t="str">
        <f t="shared" si="116"/>
        <v>21- 25</v>
      </c>
      <c r="K728" s="1">
        <v>3.1</v>
      </c>
      <c r="L728" s="1" t="s">
        <v>1064</v>
      </c>
      <c r="M728" s="1" t="str">
        <f t="shared" si="117"/>
        <v>USD 40</v>
      </c>
      <c r="N728" s="1">
        <v>40</v>
      </c>
      <c r="O728" t="s">
        <v>1053</v>
      </c>
      <c r="P728" s="4">
        <f>[2]Sheet1!K728</f>
        <v>0.69</v>
      </c>
    </row>
    <row r="729" spans="1:16" x14ac:dyDescent="0.35">
      <c r="A729" t="s">
        <v>779</v>
      </c>
      <c r="B729" t="str">
        <f>TRIM([1]Sheet1!AD729)</f>
        <v>Ian Hayes</v>
      </c>
      <c r="C729" t="str">
        <f>IF(UPPER(LEFT([1]Sheet1!W729,1))="F","FEMALE","MALE")</f>
        <v>MALE</v>
      </c>
      <c r="D729">
        <v>60</v>
      </c>
      <c r="E729" t="s">
        <v>74</v>
      </c>
      <c r="F729" t="s">
        <v>74</v>
      </c>
      <c r="G729" t="s">
        <v>75</v>
      </c>
      <c r="H729" t="s">
        <v>39</v>
      </c>
      <c r="I729" s="1">
        <v>0</v>
      </c>
      <c r="J729" s="1" t="str">
        <f t="shared" si="116"/>
        <v>0-5</v>
      </c>
      <c r="K729" s="1">
        <v>4.9000000000000004</v>
      </c>
      <c r="L729" s="1">
        <v>40</v>
      </c>
      <c r="M729" s="1">
        <f t="shared" si="117"/>
        <v>40</v>
      </c>
      <c r="N729" s="1">
        <f t="shared" ref="N729:N731" si="121">M729</f>
        <v>40</v>
      </c>
      <c r="O729" t="s">
        <v>1054</v>
      </c>
      <c r="P729" s="4">
        <f>[2]Sheet1!K729</f>
        <v>0.68</v>
      </c>
    </row>
    <row r="730" spans="1:16" x14ac:dyDescent="0.35">
      <c r="A730" t="s">
        <v>780</v>
      </c>
      <c r="B730" t="str">
        <f>TRIM([1]Sheet1!AD730)</f>
        <v>Christine Castro</v>
      </c>
      <c r="C730" t="str">
        <f>IF(UPPER(LEFT([1]Sheet1!W730,1))="F","FEMALE","MALE")</f>
        <v>FEMALE</v>
      </c>
      <c r="D730">
        <v>53</v>
      </c>
      <c r="E730" t="s">
        <v>60</v>
      </c>
      <c r="F730" t="s">
        <v>60</v>
      </c>
      <c r="G730" t="s">
        <v>61</v>
      </c>
      <c r="H730" t="s">
        <v>39</v>
      </c>
      <c r="I730" s="1">
        <v>21</v>
      </c>
      <c r="J730" s="1" t="str">
        <f t="shared" si="116"/>
        <v>21- 25</v>
      </c>
      <c r="K730" s="1">
        <v>4.2</v>
      </c>
      <c r="L730" s="2">
        <v>30</v>
      </c>
      <c r="M730" s="1">
        <f t="shared" si="117"/>
        <v>30</v>
      </c>
      <c r="N730" s="1">
        <f t="shared" si="121"/>
        <v>30</v>
      </c>
      <c r="O730" t="s">
        <v>1054</v>
      </c>
      <c r="P730" s="3">
        <f>[2]Sheet1!K730/100</f>
        <v>0.73</v>
      </c>
    </row>
    <row r="731" spans="1:16" x14ac:dyDescent="0.35">
      <c r="A731" t="s">
        <v>781</v>
      </c>
      <c r="B731" t="str">
        <f>TRIM([1]Sheet1!AD731)</f>
        <v>Jessica Chaney</v>
      </c>
      <c r="C731" t="str">
        <f>IF(UPPER(LEFT([1]Sheet1!W731,1))="F","FEMALE","MALE")</f>
        <v>FEMALE</v>
      </c>
      <c r="D731">
        <v>20</v>
      </c>
      <c r="E731" t="s">
        <v>99</v>
      </c>
      <c r="F731" t="s">
        <v>99</v>
      </c>
      <c r="G731" t="s">
        <v>38</v>
      </c>
      <c r="H731" t="s">
        <v>8</v>
      </c>
      <c r="I731" s="1">
        <v>0</v>
      </c>
      <c r="J731" s="1" t="str">
        <f t="shared" si="116"/>
        <v>0-5</v>
      </c>
      <c r="K731" s="1">
        <v>3.2</v>
      </c>
      <c r="L731" s="1">
        <v>75</v>
      </c>
      <c r="M731" s="1">
        <f t="shared" si="117"/>
        <v>75</v>
      </c>
      <c r="N731" s="1">
        <f t="shared" si="121"/>
        <v>75</v>
      </c>
      <c r="O731" t="s">
        <v>1054</v>
      </c>
      <c r="P731" s="4">
        <f>[2]Sheet1!K731</f>
        <v>0.74</v>
      </c>
    </row>
    <row r="732" spans="1:16" x14ac:dyDescent="0.35">
      <c r="A732" t="s">
        <v>782</v>
      </c>
      <c r="B732" t="str">
        <f>TRIM([1]Sheet1!AD732)</f>
        <v>John Gray</v>
      </c>
      <c r="C732" t="str">
        <f>IF(UPPER(LEFT([1]Sheet1!W732,1))="F","FEMALE","MALE")</f>
        <v>MALE</v>
      </c>
      <c r="D732">
        <v>42</v>
      </c>
      <c r="E732" t="s">
        <v>67</v>
      </c>
      <c r="F732" t="s">
        <v>67</v>
      </c>
      <c r="G732" t="s">
        <v>68</v>
      </c>
      <c r="H732" t="s">
        <v>18</v>
      </c>
      <c r="I732" s="1">
        <v>7</v>
      </c>
      <c r="J732" s="1" t="str">
        <f t="shared" si="116"/>
        <v>5-10</v>
      </c>
      <c r="L732" s="1" t="s">
        <v>1067</v>
      </c>
      <c r="M732" s="1" t="str">
        <f t="shared" si="117"/>
        <v>USD 20</v>
      </c>
      <c r="N732" s="1">
        <v>20</v>
      </c>
      <c r="O732" t="s">
        <v>1053</v>
      </c>
      <c r="P732" s="4">
        <f>[2]Sheet1!K732</f>
        <v>1</v>
      </c>
    </row>
    <row r="733" spans="1:16" x14ac:dyDescent="0.35">
      <c r="A733" t="s">
        <v>783</v>
      </c>
      <c r="B733" t="str">
        <f>TRIM([1]Sheet1!AD733)</f>
        <v>Shane Booker</v>
      </c>
      <c r="C733" t="str">
        <f>IF(UPPER(LEFT([1]Sheet1!W733,1))="F","FEMALE","MALE")</f>
        <v>MALE</v>
      </c>
      <c r="D733">
        <v>21</v>
      </c>
      <c r="E733" t="s">
        <v>35</v>
      </c>
      <c r="F733" t="s">
        <v>35</v>
      </c>
      <c r="G733" t="s">
        <v>11</v>
      </c>
      <c r="H733" t="s">
        <v>12</v>
      </c>
      <c r="I733" s="1">
        <v>3</v>
      </c>
      <c r="J733" s="1" t="str">
        <f t="shared" si="116"/>
        <v>0-5</v>
      </c>
      <c r="K733" s="1">
        <v>0</v>
      </c>
      <c r="L733" s="1">
        <v>40</v>
      </c>
      <c r="M733" s="1">
        <f t="shared" si="117"/>
        <v>40</v>
      </c>
      <c r="N733" s="1">
        <f t="shared" ref="N733:N735" si="122">M733</f>
        <v>40</v>
      </c>
      <c r="O733" t="s">
        <v>1053</v>
      </c>
      <c r="P733" s="4">
        <f>[2]Sheet1!K733</f>
        <v>0.87</v>
      </c>
    </row>
    <row r="734" spans="1:16" x14ac:dyDescent="0.35">
      <c r="A734" t="s">
        <v>784</v>
      </c>
      <c r="B734" t="str">
        <f>TRIM([1]Sheet1!AD734)</f>
        <v>Kyle Hall</v>
      </c>
      <c r="C734" t="str">
        <f>IF(UPPER(LEFT([1]Sheet1!W734,1))="F","FEMALE","MALE")</f>
        <v>MALE</v>
      </c>
      <c r="D734">
        <v>39</v>
      </c>
      <c r="E734" t="s">
        <v>14</v>
      </c>
      <c r="F734" t="s">
        <v>14</v>
      </c>
      <c r="G734" t="s">
        <v>15</v>
      </c>
      <c r="H734" t="s">
        <v>18</v>
      </c>
      <c r="I734" s="1">
        <v>21</v>
      </c>
      <c r="J734" s="1" t="str">
        <f t="shared" si="116"/>
        <v>21- 25</v>
      </c>
      <c r="K734" s="1">
        <v>2.2000000000000002</v>
      </c>
      <c r="L734" s="1">
        <v>100</v>
      </c>
      <c r="M734" s="1">
        <f t="shared" si="117"/>
        <v>100</v>
      </c>
      <c r="N734" s="1">
        <f t="shared" si="122"/>
        <v>100</v>
      </c>
      <c r="O734" t="s">
        <v>1053</v>
      </c>
      <c r="P734" s="4">
        <f>[2]Sheet1!K734</f>
        <v>0.79</v>
      </c>
    </row>
    <row r="735" spans="1:16" x14ac:dyDescent="0.35">
      <c r="A735" t="s">
        <v>785</v>
      </c>
      <c r="B735" t="str">
        <f>TRIM([1]Sheet1!AD735)</f>
        <v>Ronald Munoz</v>
      </c>
      <c r="C735" t="str">
        <f>IF(UPPER(LEFT([1]Sheet1!W735,1))="F","FEMALE","MALE")</f>
        <v>MALE</v>
      </c>
      <c r="D735">
        <v>32</v>
      </c>
      <c r="E735" t="s">
        <v>50</v>
      </c>
      <c r="F735" t="s">
        <v>50</v>
      </c>
      <c r="G735" t="s">
        <v>51</v>
      </c>
      <c r="H735" t="s">
        <v>8</v>
      </c>
      <c r="J735" s="1" t="str">
        <f t="shared" si="116"/>
        <v>0-5</v>
      </c>
      <c r="K735" s="1">
        <v>1.5</v>
      </c>
      <c r="L735" s="1">
        <v>30</v>
      </c>
      <c r="M735" s="1">
        <f t="shared" si="117"/>
        <v>30</v>
      </c>
      <c r="N735" s="1">
        <f t="shared" si="122"/>
        <v>30</v>
      </c>
      <c r="O735" t="s">
        <v>1053</v>
      </c>
      <c r="P735" s="4">
        <f>[2]Sheet1!K735</f>
        <v>0.68</v>
      </c>
    </row>
    <row r="736" spans="1:16" x14ac:dyDescent="0.35">
      <c r="A736" t="s">
        <v>786</v>
      </c>
      <c r="B736" t="str">
        <f>TRIM([1]Sheet1!AD736)</f>
        <v>Christopher Long</v>
      </c>
      <c r="C736" t="str">
        <f>IF(UPPER(LEFT([1]Sheet1!W736,1))="F","FEMALE","MALE")</f>
        <v>MALE</v>
      </c>
      <c r="D736">
        <v>35</v>
      </c>
      <c r="E736" t="s">
        <v>14</v>
      </c>
      <c r="F736" t="s">
        <v>14</v>
      </c>
      <c r="G736" t="s">
        <v>15</v>
      </c>
      <c r="H736" t="s">
        <v>27</v>
      </c>
      <c r="J736" s="1" t="str">
        <f t="shared" si="116"/>
        <v>0-5</v>
      </c>
      <c r="L736" s="1" t="s">
        <v>1062</v>
      </c>
      <c r="M736" s="1" t="str">
        <f t="shared" si="117"/>
        <v>USD 100</v>
      </c>
      <c r="N736" s="1">
        <v>100</v>
      </c>
      <c r="O736" t="s">
        <v>1053</v>
      </c>
      <c r="P736" s="4">
        <f>[2]Sheet1!K736</f>
        <v>0.84</v>
      </c>
    </row>
    <row r="737" spans="1:16" x14ac:dyDescent="0.35">
      <c r="A737" t="s">
        <v>787</v>
      </c>
      <c r="B737" t="str">
        <f>TRIM([1]Sheet1!AD737)</f>
        <v>Sandra Ali</v>
      </c>
      <c r="C737" t="str">
        <f>IF(UPPER(LEFT([1]Sheet1!W737,1))="F","FEMALE","MALE")</f>
        <v>FEMALE</v>
      </c>
      <c r="D737">
        <v>35</v>
      </c>
      <c r="E737" t="s">
        <v>74</v>
      </c>
      <c r="F737" t="s">
        <v>74</v>
      </c>
      <c r="G737" t="s">
        <v>75</v>
      </c>
      <c r="H737" t="s">
        <v>39</v>
      </c>
      <c r="I737" s="1">
        <v>17</v>
      </c>
      <c r="J737" s="1" t="str">
        <f t="shared" si="116"/>
        <v xml:space="preserve"> 16-20</v>
      </c>
      <c r="K737" s="1">
        <v>3.1</v>
      </c>
      <c r="L737" s="1">
        <v>50</v>
      </c>
      <c r="M737" s="1">
        <f t="shared" si="117"/>
        <v>50</v>
      </c>
      <c r="N737" s="1">
        <f t="shared" ref="N737:N738" si="123">M737</f>
        <v>50</v>
      </c>
      <c r="O737" t="s">
        <v>1053</v>
      </c>
      <c r="P737" s="4">
        <f>[2]Sheet1!K737</f>
        <v>0.71</v>
      </c>
    </row>
    <row r="738" spans="1:16" x14ac:dyDescent="0.35">
      <c r="A738" t="s">
        <v>788</v>
      </c>
      <c r="B738" t="str">
        <f>TRIM([1]Sheet1!AD738)</f>
        <v>Jessica Garza</v>
      </c>
      <c r="C738" t="str">
        <f>IF(UPPER(LEFT([1]Sheet1!W738,1))="F","FEMALE","MALE")</f>
        <v>FEMALE</v>
      </c>
      <c r="D738">
        <v>23</v>
      </c>
      <c r="E738" t="s">
        <v>37</v>
      </c>
      <c r="F738" t="s">
        <v>37</v>
      </c>
      <c r="G738" t="s">
        <v>38</v>
      </c>
      <c r="H738" t="s">
        <v>39</v>
      </c>
      <c r="I738" s="1">
        <v>0</v>
      </c>
      <c r="J738" s="1" t="str">
        <f t="shared" si="116"/>
        <v>0-5</v>
      </c>
      <c r="K738" s="1">
        <v>0</v>
      </c>
      <c r="L738" s="1">
        <v>75</v>
      </c>
      <c r="M738" s="1">
        <f t="shared" si="117"/>
        <v>75</v>
      </c>
      <c r="N738" s="1">
        <f t="shared" si="123"/>
        <v>75</v>
      </c>
      <c r="O738" t="s">
        <v>1053</v>
      </c>
      <c r="P738" s="4">
        <f>[2]Sheet1!K738</f>
        <v>0.92</v>
      </c>
    </row>
    <row r="739" spans="1:16" x14ac:dyDescent="0.35">
      <c r="A739" t="s">
        <v>789</v>
      </c>
      <c r="B739" t="str">
        <f>TRIM([1]Sheet1!AD739)</f>
        <v>Gregory Waters</v>
      </c>
      <c r="C739" t="str">
        <f>IF(UPPER(LEFT([1]Sheet1!W739,1))="F","FEMALE","MALE")</f>
        <v>MALE</v>
      </c>
      <c r="D739">
        <v>26</v>
      </c>
      <c r="E739" t="s">
        <v>21</v>
      </c>
      <c r="F739" t="s">
        <v>21</v>
      </c>
      <c r="G739" t="s">
        <v>22</v>
      </c>
      <c r="H739" t="s">
        <v>23</v>
      </c>
      <c r="I739" s="1">
        <v>6</v>
      </c>
      <c r="J739" s="1" t="str">
        <f t="shared" si="116"/>
        <v>5-10</v>
      </c>
      <c r="L739" s="1" t="s">
        <v>1062</v>
      </c>
      <c r="M739" s="1" t="str">
        <f t="shared" si="117"/>
        <v>USD 100</v>
      </c>
      <c r="N739" s="1">
        <v>100</v>
      </c>
      <c r="O739" t="s">
        <v>1053</v>
      </c>
      <c r="P739" s="4">
        <f>[2]Sheet1!K739</f>
        <v>0.69</v>
      </c>
    </row>
    <row r="740" spans="1:16" x14ac:dyDescent="0.35">
      <c r="A740" t="s">
        <v>790</v>
      </c>
      <c r="B740" t="str">
        <f>TRIM([1]Sheet1!AD740)</f>
        <v>Misty Adams</v>
      </c>
      <c r="C740" t="str">
        <f>IF(UPPER(LEFT([1]Sheet1!W740,1))="F","FEMALE","MALE")</f>
        <v>FEMALE</v>
      </c>
      <c r="D740">
        <v>34</v>
      </c>
      <c r="E740" t="s">
        <v>70</v>
      </c>
      <c r="F740" t="s">
        <v>70</v>
      </c>
      <c r="G740" t="s">
        <v>11</v>
      </c>
      <c r="H740" t="s">
        <v>62</v>
      </c>
      <c r="I740" s="1">
        <v>3</v>
      </c>
      <c r="J740" s="1" t="str">
        <f t="shared" si="116"/>
        <v>0-5</v>
      </c>
      <c r="K740" s="1">
        <v>0</v>
      </c>
      <c r="M740" s="1">
        <f t="shared" si="117"/>
        <v>0</v>
      </c>
      <c r="N740" s="1">
        <f t="shared" ref="N740:N743" si="124">M740</f>
        <v>0</v>
      </c>
      <c r="O740" t="s">
        <v>1054</v>
      </c>
      <c r="P740" s="4">
        <f>[2]Sheet1!K740</f>
        <v>0.71</v>
      </c>
    </row>
    <row r="741" spans="1:16" x14ac:dyDescent="0.35">
      <c r="A741" t="s">
        <v>791</v>
      </c>
      <c r="B741" t="str">
        <f>TRIM([1]Sheet1!AD741)</f>
        <v>Megan Brown</v>
      </c>
      <c r="C741" t="str">
        <f>IF(UPPER(LEFT([1]Sheet1!W741,1))="F","FEMALE","MALE")</f>
        <v>FEMALE</v>
      </c>
      <c r="D741">
        <v>34</v>
      </c>
      <c r="E741" t="s">
        <v>14</v>
      </c>
      <c r="F741" t="s">
        <v>14</v>
      </c>
      <c r="G741" t="s">
        <v>15</v>
      </c>
      <c r="H741" t="s">
        <v>8</v>
      </c>
      <c r="I741" s="1">
        <v>3</v>
      </c>
      <c r="J741" s="1" t="str">
        <f t="shared" si="116"/>
        <v>0-5</v>
      </c>
      <c r="M741" s="1">
        <f t="shared" si="117"/>
        <v>0</v>
      </c>
      <c r="N741" s="1">
        <f t="shared" si="124"/>
        <v>0</v>
      </c>
      <c r="O741" t="s">
        <v>1053</v>
      </c>
      <c r="P741" s="4">
        <f>[2]Sheet1!K741</f>
        <v>0.77</v>
      </c>
    </row>
    <row r="742" spans="1:16" x14ac:dyDescent="0.35">
      <c r="A742" t="s">
        <v>792</v>
      </c>
      <c r="B742" t="str">
        <f>TRIM([1]Sheet1!AD742)</f>
        <v>Gregory Brown</v>
      </c>
      <c r="C742" t="str">
        <f>IF(UPPER(LEFT([1]Sheet1!W742,1))="F","FEMALE","MALE")</f>
        <v>MALE</v>
      </c>
      <c r="D742">
        <v>57</v>
      </c>
      <c r="E742" t="s">
        <v>6</v>
      </c>
      <c r="F742" t="s">
        <v>6</v>
      </c>
      <c r="G742" t="s">
        <v>7</v>
      </c>
      <c r="H742" t="s">
        <v>18</v>
      </c>
      <c r="I742" s="1">
        <v>31</v>
      </c>
      <c r="J742" s="1" t="str">
        <f t="shared" si="116"/>
        <v>31+</v>
      </c>
      <c r="K742" s="1">
        <v>3</v>
      </c>
      <c r="L742" s="1">
        <v>50</v>
      </c>
      <c r="M742" s="1">
        <f t="shared" si="117"/>
        <v>50</v>
      </c>
      <c r="N742" s="1">
        <f t="shared" si="124"/>
        <v>50</v>
      </c>
      <c r="O742" t="s">
        <v>1054</v>
      </c>
      <c r="P742" s="4">
        <f>[2]Sheet1!K742</f>
        <v>0.87</v>
      </c>
    </row>
    <row r="743" spans="1:16" x14ac:dyDescent="0.35">
      <c r="A743" t="s">
        <v>793</v>
      </c>
      <c r="B743" t="str">
        <f>TRIM([1]Sheet1!AD743)</f>
        <v>Scott Alexander MD</v>
      </c>
      <c r="C743" t="str">
        <f>IF(UPPER(LEFT([1]Sheet1!W743,1))="F","FEMALE","MALE")</f>
        <v>MALE</v>
      </c>
      <c r="D743">
        <v>46</v>
      </c>
      <c r="E743" t="s">
        <v>70</v>
      </c>
      <c r="F743" t="s">
        <v>70</v>
      </c>
      <c r="G743" t="s">
        <v>11</v>
      </c>
      <c r="H743" t="s">
        <v>18</v>
      </c>
      <c r="I743" s="1">
        <v>5</v>
      </c>
      <c r="J743" s="1" t="str">
        <f t="shared" si="116"/>
        <v>0-5</v>
      </c>
      <c r="K743" s="1">
        <v>2.6</v>
      </c>
      <c r="L743" s="2">
        <v>30</v>
      </c>
      <c r="M743" s="1">
        <f t="shared" si="117"/>
        <v>30</v>
      </c>
      <c r="N743" s="1">
        <f t="shared" si="124"/>
        <v>30</v>
      </c>
      <c r="O743" t="s">
        <v>1053</v>
      </c>
      <c r="P743" s="4">
        <f>[2]Sheet1!K743</f>
        <v>0.76</v>
      </c>
    </row>
    <row r="744" spans="1:16" x14ac:dyDescent="0.35">
      <c r="A744" t="s">
        <v>794</v>
      </c>
      <c r="B744" t="str">
        <f>TRIM([1]Sheet1!AD744)</f>
        <v>Eric Nguyen</v>
      </c>
      <c r="C744" t="str">
        <f>IF(UPPER(LEFT([1]Sheet1!W744,1))="F","FEMALE","MALE")</f>
        <v>MALE</v>
      </c>
      <c r="D744">
        <v>55</v>
      </c>
      <c r="E744" t="s">
        <v>50</v>
      </c>
      <c r="F744" t="s">
        <v>50</v>
      </c>
      <c r="G744" t="s">
        <v>51</v>
      </c>
      <c r="H744" t="s">
        <v>23</v>
      </c>
      <c r="I744" s="1">
        <v>37</v>
      </c>
      <c r="J744" s="1" t="str">
        <f t="shared" si="116"/>
        <v>31+</v>
      </c>
      <c r="K744" s="1">
        <v>4.0999999999999996</v>
      </c>
      <c r="L744" s="1" t="s">
        <v>1063</v>
      </c>
      <c r="M744" s="1" t="str">
        <f t="shared" si="117"/>
        <v>USD 75</v>
      </c>
      <c r="N744" s="1">
        <v>75</v>
      </c>
      <c r="O744" t="s">
        <v>1053</v>
      </c>
    </row>
    <row r="745" spans="1:16" x14ac:dyDescent="0.35">
      <c r="A745" t="s">
        <v>795</v>
      </c>
      <c r="B745" t="str">
        <f>TRIM([1]Sheet1!AD745)</f>
        <v>Wendy Boyer</v>
      </c>
      <c r="C745" t="str">
        <f>IF(UPPER(LEFT([1]Sheet1!W745,1))="F","FEMALE","MALE")</f>
        <v>FEMALE</v>
      </c>
      <c r="D745">
        <v>32</v>
      </c>
      <c r="E745" t="s">
        <v>10</v>
      </c>
      <c r="F745" t="s">
        <v>10</v>
      </c>
      <c r="G745" t="s">
        <v>11</v>
      </c>
      <c r="H745" t="s">
        <v>48</v>
      </c>
      <c r="I745" s="1">
        <v>10</v>
      </c>
      <c r="J745" s="1" t="str">
        <f t="shared" si="116"/>
        <v>5-10</v>
      </c>
      <c r="K745" s="1">
        <v>1.5</v>
      </c>
      <c r="L745" s="1" t="s">
        <v>1065</v>
      </c>
      <c r="M745" s="1" t="str">
        <f t="shared" si="117"/>
        <v>USD 50</v>
      </c>
      <c r="N745" s="1">
        <v>50</v>
      </c>
      <c r="O745" t="s">
        <v>1053</v>
      </c>
      <c r="P745" s="4">
        <f>[2]Sheet1!K745</f>
        <v>0.65</v>
      </c>
    </row>
    <row r="746" spans="1:16" x14ac:dyDescent="0.35">
      <c r="A746" t="s">
        <v>796</v>
      </c>
      <c r="B746" t="str">
        <f>TRIM([1]Sheet1!AD746)</f>
        <v>Mark Clark</v>
      </c>
      <c r="C746" t="str">
        <f>IF(UPPER(LEFT([1]Sheet1!W746,1))="F","FEMALE","MALE")</f>
        <v>MALE</v>
      </c>
      <c r="D746">
        <v>53</v>
      </c>
      <c r="E746" t="s">
        <v>25</v>
      </c>
      <c r="F746" t="s">
        <v>25</v>
      </c>
      <c r="G746" t="s">
        <v>26</v>
      </c>
      <c r="H746" t="s">
        <v>23</v>
      </c>
      <c r="I746" s="1">
        <v>28</v>
      </c>
      <c r="J746" s="1" t="str">
        <f t="shared" si="116"/>
        <v>26-30</v>
      </c>
      <c r="K746" s="1">
        <v>2.9</v>
      </c>
      <c r="L746" s="1" t="s">
        <v>1065</v>
      </c>
      <c r="M746" s="1" t="str">
        <f t="shared" si="117"/>
        <v>USD 50</v>
      </c>
      <c r="N746" s="1">
        <v>50</v>
      </c>
      <c r="O746" t="s">
        <v>1054</v>
      </c>
      <c r="P746" s="4">
        <f>[2]Sheet1!K746</f>
        <v>0.82</v>
      </c>
    </row>
    <row r="747" spans="1:16" x14ac:dyDescent="0.35">
      <c r="A747" t="s">
        <v>797</v>
      </c>
      <c r="B747" t="str">
        <f>TRIM([1]Sheet1!AD747)</f>
        <v>Carl Kline</v>
      </c>
      <c r="C747" t="str">
        <f>IF(UPPER(LEFT([1]Sheet1!W747,1))="F","FEMALE","MALE")</f>
        <v>MALE</v>
      </c>
      <c r="D747">
        <v>59</v>
      </c>
      <c r="E747" t="s">
        <v>99</v>
      </c>
      <c r="F747" t="s">
        <v>99</v>
      </c>
      <c r="G747" t="s">
        <v>38</v>
      </c>
      <c r="H747" t="s">
        <v>23</v>
      </c>
      <c r="I747" s="1">
        <v>0</v>
      </c>
      <c r="J747" s="1" t="str">
        <f t="shared" si="116"/>
        <v>0-5</v>
      </c>
      <c r="K747" s="1">
        <v>0</v>
      </c>
      <c r="L747" s="1">
        <v>100</v>
      </c>
      <c r="M747" s="1">
        <f t="shared" si="117"/>
        <v>100</v>
      </c>
      <c r="N747" s="1">
        <f t="shared" ref="N747:N748" si="125">M747</f>
        <v>100</v>
      </c>
      <c r="O747" t="s">
        <v>1054</v>
      </c>
      <c r="P747" s="3">
        <f>[2]Sheet1!K747/100</f>
        <v>0.87</v>
      </c>
    </row>
    <row r="748" spans="1:16" x14ac:dyDescent="0.35">
      <c r="A748" t="s">
        <v>798</v>
      </c>
      <c r="B748" t="str">
        <f>TRIM([1]Sheet1!AD748)</f>
        <v>Linda Williams</v>
      </c>
      <c r="C748" t="str">
        <f>IF(UPPER(LEFT([1]Sheet1!W748,1))="F","FEMALE","MALE")</f>
        <v>FEMALE</v>
      </c>
      <c r="D748">
        <v>44</v>
      </c>
      <c r="E748" t="s">
        <v>21</v>
      </c>
      <c r="F748" t="s">
        <v>21</v>
      </c>
      <c r="G748" t="s">
        <v>22</v>
      </c>
      <c r="H748" t="s">
        <v>62</v>
      </c>
      <c r="I748" s="1">
        <v>19</v>
      </c>
      <c r="J748" s="1" t="str">
        <f t="shared" si="116"/>
        <v xml:space="preserve"> 16-20</v>
      </c>
      <c r="K748" s="1">
        <v>4.9000000000000004</v>
      </c>
      <c r="L748" s="2">
        <v>40</v>
      </c>
      <c r="M748" s="1">
        <f t="shared" si="117"/>
        <v>40</v>
      </c>
      <c r="N748" s="1">
        <f t="shared" si="125"/>
        <v>40</v>
      </c>
      <c r="O748" t="s">
        <v>1053</v>
      </c>
      <c r="P748" s="4">
        <f>[2]Sheet1!K748</f>
        <v>1</v>
      </c>
    </row>
    <row r="749" spans="1:16" x14ac:dyDescent="0.35">
      <c r="A749" t="s">
        <v>799</v>
      </c>
      <c r="B749" t="str">
        <f>TRIM([1]Sheet1!AD749)</f>
        <v>Jason Edwards</v>
      </c>
      <c r="C749" t="str">
        <f>IF(UPPER(LEFT([1]Sheet1!W749,1))="F","FEMALE","MALE")</f>
        <v>MALE</v>
      </c>
      <c r="D749">
        <v>35</v>
      </c>
      <c r="E749" t="s">
        <v>77</v>
      </c>
      <c r="F749" t="s">
        <v>77</v>
      </c>
      <c r="G749" t="s">
        <v>78</v>
      </c>
      <c r="H749" t="s">
        <v>8</v>
      </c>
      <c r="I749" s="1">
        <v>9</v>
      </c>
      <c r="J749" s="1" t="str">
        <f t="shared" si="116"/>
        <v>5-10</v>
      </c>
      <c r="K749" s="1">
        <v>3</v>
      </c>
      <c r="L749" s="1" t="s">
        <v>1065</v>
      </c>
      <c r="M749" s="1" t="str">
        <f t="shared" si="117"/>
        <v>USD 50</v>
      </c>
      <c r="N749" s="1">
        <v>50</v>
      </c>
      <c r="O749" t="s">
        <v>1053</v>
      </c>
      <c r="P749" s="3">
        <f>[2]Sheet1!K749/100</f>
        <v>0.71</v>
      </c>
    </row>
    <row r="750" spans="1:16" x14ac:dyDescent="0.35">
      <c r="A750" t="s">
        <v>800</v>
      </c>
      <c r="B750" t="str">
        <f>TRIM([1]Sheet1!AD750)</f>
        <v>Madison Mcintosh</v>
      </c>
      <c r="C750" t="str">
        <f>IF(UPPER(LEFT([1]Sheet1!W750,1))="F","FEMALE","MALE")</f>
        <v>FEMALE</v>
      </c>
      <c r="D750">
        <v>42</v>
      </c>
      <c r="E750" t="s">
        <v>96</v>
      </c>
      <c r="F750" t="s">
        <v>96</v>
      </c>
      <c r="G750" t="s">
        <v>97</v>
      </c>
      <c r="H750" t="s">
        <v>62</v>
      </c>
      <c r="I750" s="1">
        <v>5</v>
      </c>
      <c r="J750" s="1" t="str">
        <f t="shared" si="116"/>
        <v>0-5</v>
      </c>
      <c r="K750" s="1">
        <v>4.9000000000000004</v>
      </c>
      <c r="L750" s="1">
        <v>30</v>
      </c>
      <c r="M750" s="1">
        <f t="shared" si="117"/>
        <v>30</v>
      </c>
      <c r="N750" s="1">
        <f>M750</f>
        <v>30</v>
      </c>
      <c r="O750" t="s">
        <v>1054</v>
      </c>
      <c r="P750" s="3">
        <f>[2]Sheet1!K750/100</f>
        <v>0.87</v>
      </c>
    </row>
    <row r="751" spans="1:16" x14ac:dyDescent="0.35">
      <c r="A751" t="s">
        <v>801</v>
      </c>
      <c r="B751" t="str">
        <f>TRIM([1]Sheet1!AD751)</f>
        <v>Desiree Winters</v>
      </c>
      <c r="C751" t="str">
        <f>IF(UPPER(LEFT([1]Sheet1!W751,1))="F","FEMALE","MALE")</f>
        <v>FEMALE</v>
      </c>
      <c r="D751">
        <v>58</v>
      </c>
      <c r="E751" t="s">
        <v>60</v>
      </c>
      <c r="F751" t="s">
        <v>60</v>
      </c>
      <c r="G751" t="s">
        <v>61</v>
      </c>
      <c r="H751" t="s">
        <v>8</v>
      </c>
      <c r="I751" s="1">
        <v>0</v>
      </c>
      <c r="J751" s="1" t="str">
        <f t="shared" si="116"/>
        <v>0-5</v>
      </c>
      <c r="K751" s="1">
        <v>4.5999999999999996</v>
      </c>
      <c r="L751" s="1" t="s">
        <v>1066</v>
      </c>
      <c r="M751" s="1" t="str">
        <f t="shared" si="117"/>
        <v>USD 30</v>
      </c>
      <c r="N751" s="1">
        <v>30</v>
      </c>
      <c r="O751" t="s">
        <v>1053</v>
      </c>
      <c r="P751" s="3">
        <f>[2]Sheet1!K751/100</f>
        <v>0.7</v>
      </c>
    </row>
    <row r="752" spans="1:16" x14ac:dyDescent="0.35">
      <c r="A752" t="s">
        <v>802</v>
      </c>
      <c r="B752" t="str">
        <f>TRIM([1]Sheet1!AD752)</f>
        <v>Ryan Taylor</v>
      </c>
      <c r="C752" t="str">
        <f>IF(UPPER(LEFT([1]Sheet1!W752,1))="F","FEMALE","MALE")</f>
        <v>MALE</v>
      </c>
      <c r="D752">
        <v>41</v>
      </c>
      <c r="E752" t="s">
        <v>21</v>
      </c>
      <c r="F752" t="s">
        <v>21</v>
      </c>
      <c r="G752" t="s">
        <v>22</v>
      </c>
      <c r="H752" t="s">
        <v>23</v>
      </c>
      <c r="I752" s="1">
        <v>21</v>
      </c>
      <c r="J752" s="1" t="str">
        <f t="shared" si="116"/>
        <v>21- 25</v>
      </c>
      <c r="K752" s="1">
        <v>2.2000000000000002</v>
      </c>
      <c r="L752" s="1" t="s">
        <v>1062</v>
      </c>
      <c r="M752" s="1" t="str">
        <f t="shared" si="117"/>
        <v>USD 100</v>
      </c>
      <c r="N752" s="1">
        <v>100</v>
      </c>
      <c r="O752" t="s">
        <v>1054</v>
      </c>
      <c r="P752" s="4">
        <f>[2]Sheet1!K752</f>
        <v>0.83</v>
      </c>
    </row>
    <row r="753" spans="1:16" x14ac:dyDescent="0.35">
      <c r="A753" t="s">
        <v>803</v>
      </c>
      <c r="B753" t="str">
        <f>TRIM([1]Sheet1!AD753)</f>
        <v>Patricia Scott</v>
      </c>
      <c r="C753" t="str">
        <f>IF(UPPER(LEFT([1]Sheet1!W753,1))="F","FEMALE","MALE")</f>
        <v>FEMALE</v>
      </c>
      <c r="E753" t="s">
        <v>37</v>
      </c>
      <c r="F753" t="s">
        <v>37</v>
      </c>
      <c r="G753" t="s">
        <v>38</v>
      </c>
      <c r="H753" t="s">
        <v>18</v>
      </c>
      <c r="I753" s="1">
        <v>0</v>
      </c>
      <c r="J753" s="1" t="str">
        <f t="shared" si="116"/>
        <v>0-5</v>
      </c>
      <c r="L753" s="1">
        <v>40</v>
      </c>
      <c r="M753" s="1">
        <f t="shared" si="117"/>
        <v>40</v>
      </c>
      <c r="N753" s="1">
        <f t="shared" ref="N753:N756" si="126">M753</f>
        <v>40</v>
      </c>
      <c r="O753" t="s">
        <v>1054</v>
      </c>
      <c r="P753" s="4">
        <f>[2]Sheet1!K753</f>
        <v>0.74</v>
      </c>
    </row>
    <row r="754" spans="1:16" x14ac:dyDescent="0.35">
      <c r="A754" t="s">
        <v>804</v>
      </c>
      <c r="B754" t="str">
        <f>TRIM([1]Sheet1!AD754)</f>
        <v>Erin Jimenez</v>
      </c>
      <c r="C754" t="str">
        <f>IF(UPPER(LEFT([1]Sheet1!W754,1))="F","FEMALE","MALE")</f>
        <v>FEMALE</v>
      </c>
      <c r="D754">
        <v>23</v>
      </c>
      <c r="E754" t="s">
        <v>70</v>
      </c>
      <c r="F754" t="s">
        <v>70</v>
      </c>
      <c r="G754" t="s">
        <v>11</v>
      </c>
      <c r="H754" t="s">
        <v>8</v>
      </c>
      <c r="I754" s="1">
        <v>0</v>
      </c>
      <c r="J754" s="1" t="str">
        <f t="shared" si="116"/>
        <v>0-5</v>
      </c>
      <c r="K754" s="1">
        <v>1.1000000000000001</v>
      </c>
      <c r="L754" s="1">
        <v>30</v>
      </c>
      <c r="M754" s="1">
        <f t="shared" si="117"/>
        <v>30</v>
      </c>
      <c r="N754" s="1">
        <f t="shared" si="126"/>
        <v>30</v>
      </c>
      <c r="O754" t="s">
        <v>1054</v>
      </c>
      <c r="P754" s="4">
        <f>[2]Sheet1!K754</f>
        <v>0.86</v>
      </c>
    </row>
    <row r="755" spans="1:16" x14ac:dyDescent="0.35">
      <c r="A755" t="s">
        <v>805</v>
      </c>
      <c r="B755" t="str">
        <f>TRIM([1]Sheet1!AD755)</f>
        <v>Anthony Krause</v>
      </c>
      <c r="C755" t="str">
        <f>IF(UPPER(LEFT([1]Sheet1!W755,1))="F","FEMALE","MALE")</f>
        <v>MALE</v>
      </c>
      <c r="D755">
        <v>51</v>
      </c>
      <c r="E755" t="s">
        <v>96</v>
      </c>
      <c r="F755" t="s">
        <v>96</v>
      </c>
      <c r="G755" t="s">
        <v>97</v>
      </c>
      <c r="H755" t="s">
        <v>8</v>
      </c>
      <c r="I755" s="1">
        <v>17</v>
      </c>
      <c r="J755" s="1" t="str">
        <f t="shared" si="116"/>
        <v xml:space="preserve"> 16-20</v>
      </c>
      <c r="K755" s="1">
        <v>4.5</v>
      </c>
      <c r="L755" s="1">
        <v>40</v>
      </c>
      <c r="M755" s="1">
        <f t="shared" si="117"/>
        <v>40</v>
      </c>
      <c r="N755" s="1">
        <f t="shared" si="126"/>
        <v>40</v>
      </c>
      <c r="O755" t="s">
        <v>1054</v>
      </c>
      <c r="P755" s="4">
        <f>[2]Sheet1!K755</f>
        <v>0.72</v>
      </c>
    </row>
    <row r="756" spans="1:16" x14ac:dyDescent="0.35">
      <c r="A756" t="s">
        <v>806</v>
      </c>
      <c r="B756" t="str">
        <f>TRIM([1]Sheet1!AD756)</f>
        <v>Diane Dean</v>
      </c>
      <c r="C756" t="str">
        <f>IF(UPPER(LEFT([1]Sheet1!W756,1))="F","FEMALE","MALE")</f>
        <v>FEMALE</v>
      </c>
      <c r="D756">
        <v>42</v>
      </c>
      <c r="E756" t="s">
        <v>74</v>
      </c>
      <c r="F756" t="s">
        <v>74</v>
      </c>
      <c r="G756" t="s">
        <v>75</v>
      </c>
      <c r="H756" t="s">
        <v>23</v>
      </c>
      <c r="I756" s="1">
        <v>21</v>
      </c>
      <c r="J756" s="1" t="str">
        <f t="shared" si="116"/>
        <v>21- 25</v>
      </c>
      <c r="K756" s="1">
        <v>2.5</v>
      </c>
      <c r="M756" s="1">
        <f t="shared" si="117"/>
        <v>0</v>
      </c>
      <c r="N756" s="1">
        <f t="shared" si="126"/>
        <v>0</v>
      </c>
      <c r="O756" t="s">
        <v>1054</v>
      </c>
      <c r="P756" s="4">
        <f>[2]Sheet1!K756</f>
        <v>0.73</v>
      </c>
    </row>
    <row r="757" spans="1:16" x14ac:dyDescent="0.35">
      <c r="A757" t="s">
        <v>807</v>
      </c>
      <c r="B757" t="str">
        <f>TRIM([1]Sheet1!AD757)</f>
        <v>Stuart Mckinney</v>
      </c>
      <c r="C757" t="str">
        <f>IF(UPPER(LEFT([1]Sheet1!W757,1))="F","FEMALE","MALE")</f>
        <v>MALE</v>
      </c>
      <c r="D757">
        <v>26</v>
      </c>
      <c r="E757" t="s">
        <v>45</v>
      </c>
      <c r="F757" t="s">
        <v>45</v>
      </c>
      <c r="G757" t="s">
        <v>46</v>
      </c>
      <c r="H757" t="s">
        <v>27</v>
      </c>
      <c r="I757" s="1">
        <v>7</v>
      </c>
      <c r="J757" s="1" t="str">
        <f t="shared" si="116"/>
        <v>5-10</v>
      </c>
      <c r="K757" s="1">
        <v>2.9</v>
      </c>
      <c r="L757" s="1" t="s">
        <v>1063</v>
      </c>
      <c r="M757" s="1" t="str">
        <f t="shared" si="117"/>
        <v>USD 75</v>
      </c>
      <c r="N757" s="1">
        <v>75</v>
      </c>
      <c r="O757" t="s">
        <v>1053</v>
      </c>
      <c r="P757" s="4">
        <f>[2]Sheet1!K757</f>
        <v>0.78</v>
      </c>
    </row>
    <row r="758" spans="1:16" x14ac:dyDescent="0.35">
      <c r="A758" t="s">
        <v>808</v>
      </c>
      <c r="B758" t="str">
        <f>TRIM([1]Sheet1!AD758)</f>
        <v>Kellie Le</v>
      </c>
      <c r="C758" t="str">
        <f>IF(UPPER(LEFT([1]Sheet1!W758,1))="F","FEMALE","MALE")</f>
        <v>FEMALE</v>
      </c>
      <c r="D758">
        <v>49</v>
      </c>
      <c r="E758" t="s">
        <v>25</v>
      </c>
      <c r="F758" t="s">
        <v>25</v>
      </c>
      <c r="G758" t="s">
        <v>26</v>
      </c>
      <c r="H758" t="s">
        <v>23</v>
      </c>
      <c r="I758" s="1">
        <v>22</v>
      </c>
      <c r="J758" s="1" t="str">
        <f t="shared" si="116"/>
        <v>21- 25</v>
      </c>
      <c r="K758" s="1">
        <v>0</v>
      </c>
      <c r="L758" s="1">
        <v>75</v>
      </c>
      <c r="M758" s="1">
        <f t="shared" si="117"/>
        <v>75</v>
      </c>
      <c r="N758" s="1">
        <f>M758</f>
        <v>75</v>
      </c>
      <c r="O758" t="s">
        <v>1054</v>
      </c>
    </row>
    <row r="759" spans="1:16" x14ac:dyDescent="0.35">
      <c r="A759" t="s">
        <v>809</v>
      </c>
      <c r="B759" t="str">
        <f>TRIM([1]Sheet1!AD759)</f>
        <v>Lauren Henry</v>
      </c>
      <c r="C759" t="str">
        <f>IF(UPPER(LEFT([1]Sheet1!W759,1))="F","FEMALE","MALE")</f>
        <v>FEMALE</v>
      </c>
      <c r="D759">
        <v>37</v>
      </c>
      <c r="E759" t="s">
        <v>6</v>
      </c>
      <c r="F759" t="s">
        <v>6</v>
      </c>
      <c r="G759" t="s">
        <v>7</v>
      </c>
      <c r="H759" t="s">
        <v>48</v>
      </c>
      <c r="J759" s="1" t="str">
        <f t="shared" si="116"/>
        <v>0-5</v>
      </c>
      <c r="K759" s="1">
        <v>3.5</v>
      </c>
      <c r="L759" s="1" t="s">
        <v>1063</v>
      </c>
      <c r="M759" s="1" t="str">
        <f t="shared" si="117"/>
        <v>USD 75</v>
      </c>
      <c r="N759" s="1">
        <v>75</v>
      </c>
      <c r="O759" t="s">
        <v>1053</v>
      </c>
      <c r="P759" s="4">
        <f>[2]Sheet1!K759</f>
        <v>0.75</v>
      </c>
    </row>
    <row r="760" spans="1:16" x14ac:dyDescent="0.35">
      <c r="A760" t="s">
        <v>810</v>
      </c>
      <c r="B760" t="str">
        <f>TRIM([1]Sheet1!AD760)</f>
        <v>Brandon Fox</v>
      </c>
      <c r="C760" t="str">
        <f>IF(UPPER(LEFT([1]Sheet1!W760,1))="F","FEMALE","MALE")</f>
        <v>MALE</v>
      </c>
      <c r="D760">
        <v>31</v>
      </c>
      <c r="E760" t="s">
        <v>10</v>
      </c>
      <c r="F760" t="s">
        <v>10</v>
      </c>
      <c r="G760" t="s">
        <v>11</v>
      </c>
      <c r="H760" t="s">
        <v>23</v>
      </c>
      <c r="I760" s="1">
        <v>1</v>
      </c>
      <c r="J760" s="1" t="str">
        <f t="shared" si="116"/>
        <v>0-5</v>
      </c>
      <c r="K760" s="1">
        <v>4.5</v>
      </c>
      <c r="L760" s="1">
        <v>40</v>
      </c>
      <c r="M760" s="1">
        <f t="shared" si="117"/>
        <v>40</v>
      </c>
      <c r="N760" s="1">
        <f>M760</f>
        <v>40</v>
      </c>
      <c r="O760" t="s">
        <v>1053</v>
      </c>
      <c r="P760" s="4">
        <f>[2]Sheet1!K760</f>
        <v>0.96</v>
      </c>
    </row>
    <row r="761" spans="1:16" x14ac:dyDescent="0.35">
      <c r="A761" t="s">
        <v>811</v>
      </c>
      <c r="B761" t="str">
        <f>TRIM([1]Sheet1!AD761)</f>
        <v>Richard Smith</v>
      </c>
      <c r="C761" t="str">
        <f>IF(UPPER(LEFT([1]Sheet1!W761,1))="F","FEMALE","MALE")</f>
        <v>MALE</v>
      </c>
      <c r="D761">
        <v>51</v>
      </c>
      <c r="E761" t="s">
        <v>60</v>
      </c>
      <c r="F761" t="s">
        <v>60</v>
      </c>
      <c r="G761" t="s">
        <v>61</v>
      </c>
      <c r="H761" t="s">
        <v>12</v>
      </c>
      <c r="I761" s="1">
        <v>5</v>
      </c>
      <c r="J761" s="1" t="str">
        <f t="shared" si="116"/>
        <v>0-5</v>
      </c>
      <c r="K761" s="1">
        <v>1.7</v>
      </c>
      <c r="L761" s="1" t="s">
        <v>1064</v>
      </c>
      <c r="M761" s="1" t="str">
        <f t="shared" si="117"/>
        <v>USD 40</v>
      </c>
      <c r="N761" s="1">
        <v>40</v>
      </c>
      <c r="O761" t="s">
        <v>1054</v>
      </c>
      <c r="P761" s="4">
        <f>[2]Sheet1!K761</f>
        <v>0.61</v>
      </c>
    </row>
    <row r="762" spans="1:16" x14ac:dyDescent="0.35">
      <c r="A762" t="s">
        <v>812</v>
      </c>
      <c r="B762" t="str">
        <f>TRIM([1]Sheet1!AD762)</f>
        <v>John White</v>
      </c>
      <c r="C762" t="str">
        <f>IF(UPPER(LEFT([1]Sheet1!W762,1))="F","FEMALE","MALE")</f>
        <v>MALE</v>
      </c>
      <c r="D762">
        <v>60</v>
      </c>
      <c r="E762" t="s">
        <v>96</v>
      </c>
      <c r="F762" t="s">
        <v>96</v>
      </c>
      <c r="G762" t="s">
        <v>97</v>
      </c>
      <c r="H762" t="s">
        <v>48</v>
      </c>
      <c r="I762" s="1">
        <v>40</v>
      </c>
      <c r="J762" s="1" t="str">
        <f t="shared" si="116"/>
        <v>31+</v>
      </c>
      <c r="K762" s="1">
        <v>4.5999999999999996</v>
      </c>
      <c r="L762" s="1">
        <v>50</v>
      </c>
      <c r="M762" s="1">
        <f t="shared" si="117"/>
        <v>50</v>
      </c>
      <c r="N762" s="1">
        <f t="shared" ref="N762:N767" si="127">M762</f>
        <v>50</v>
      </c>
      <c r="O762" t="s">
        <v>1054</v>
      </c>
      <c r="P762" s="4">
        <f>[2]Sheet1!K762</f>
        <v>1</v>
      </c>
    </row>
    <row r="763" spans="1:16" x14ac:dyDescent="0.35">
      <c r="A763" t="s">
        <v>813</v>
      </c>
      <c r="B763" t="str">
        <f>TRIM([1]Sheet1!AD763)</f>
        <v>Gilbert Mcintyre</v>
      </c>
      <c r="C763" t="str">
        <f>IF(UPPER(LEFT([1]Sheet1!W763,1))="F","FEMALE","MALE")</f>
        <v>MALE</v>
      </c>
      <c r="D763">
        <v>51</v>
      </c>
      <c r="E763" t="s">
        <v>70</v>
      </c>
      <c r="F763" t="s">
        <v>70</v>
      </c>
      <c r="G763" t="s">
        <v>11</v>
      </c>
      <c r="H763" t="s">
        <v>8</v>
      </c>
      <c r="I763" s="1">
        <v>19</v>
      </c>
      <c r="J763" s="1" t="str">
        <f t="shared" si="116"/>
        <v xml:space="preserve"> 16-20</v>
      </c>
      <c r="L763" s="1">
        <v>50</v>
      </c>
      <c r="M763" s="1">
        <f t="shared" si="117"/>
        <v>50</v>
      </c>
      <c r="N763" s="1">
        <f t="shared" si="127"/>
        <v>50</v>
      </c>
      <c r="O763" t="s">
        <v>1054</v>
      </c>
      <c r="P763" s="4">
        <f>[2]Sheet1!K763</f>
        <v>0.82</v>
      </c>
    </row>
    <row r="764" spans="1:16" x14ac:dyDescent="0.35">
      <c r="A764" t="s">
        <v>814</v>
      </c>
      <c r="B764" t="str">
        <f>TRIM([1]Sheet1!AD764)</f>
        <v>Christopher Sparks</v>
      </c>
      <c r="C764" t="str">
        <f>IF(UPPER(LEFT([1]Sheet1!W764,1))="F","FEMALE","MALE")</f>
        <v>MALE</v>
      </c>
      <c r="D764">
        <v>37</v>
      </c>
      <c r="E764" t="s">
        <v>14</v>
      </c>
      <c r="F764" t="s">
        <v>14</v>
      </c>
      <c r="G764" t="s">
        <v>15</v>
      </c>
      <c r="H764" t="s">
        <v>16</v>
      </c>
      <c r="I764" s="1">
        <v>12</v>
      </c>
      <c r="J764" s="1" t="str">
        <f t="shared" si="116"/>
        <v>11-16</v>
      </c>
      <c r="K764" s="1">
        <v>4.9000000000000004</v>
      </c>
      <c r="M764" s="1">
        <f t="shared" si="117"/>
        <v>0</v>
      </c>
      <c r="N764" s="1">
        <f t="shared" si="127"/>
        <v>0</v>
      </c>
      <c r="O764" t="s">
        <v>1054</v>
      </c>
      <c r="P764" s="4">
        <f>[2]Sheet1!K764</f>
        <v>0.8</v>
      </c>
    </row>
    <row r="765" spans="1:16" x14ac:dyDescent="0.35">
      <c r="A765" t="s">
        <v>815</v>
      </c>
      <c r="B765" t="str">
        <f>TRIM([1]Sheet1!AD765)</f>
        <v>Aaron Hicks</v>
      </c>
      <c r="C765" t="str">
        <f>IF(UPPER(LEFT([1]Sheet1!W765,1))="F","FEMALE","MALE")</f>
        <v>MALE</v>
      </c>
      <c r="D765">
        <v>52</v>
      </c>
      <c r="E765" t="s">
        <v>50</v>
      </c>
      <c r="F765" t="s">
        <v>50</v>
      </c>
      <c r="G765" t="s">
        <v>51</v>
      </c>
      <c r="H765" t="s">
        <v>8</v>
      </c>
      <c r="I765" s="1">
        <v>7</v>
      </c>
      <c r="J765" s="1" t="str">
        <f t="shared" si="116"/>
        <v>5-10</v>
      </c>
      <c r="K765" s="1">
        <v>2.2000000000000002</v>
      </c>
      <c r="L765" s="1">
        <v>40</v>
      </c>
      <c r="M765" s="1">
        <f t="shared" si="117"/>
        <v>40</v>
      </c>
      <c r="N765" s="1">
        <f t="shared" si="127"/>
        <v>40</v>
      </c>
      <c r="P765" s="4">
        <f>[2]Sheet1!K765</f>
        <v>0.96</v>
      </c>
    </row>
    <row r="766" spans="1:16" x14ac:dyDescent="0.35">
      <c r="A766" t="s">
        <v>816</v>
      </c>
      <c r="B766" t="str">
        <f>TRIM([1]Sheet1!AD766)</f>
        <v>Jose Patterson</v>
      </c>
      <c r="C766" t="str">
        <f>IF(UPPER(LEFT([1]Sheet1!W766,1))="F","FEMALE","MALE")</f>
        <v>MALE</v>
      </c>
      <c r="D766">
        <v>27</v>
      </c>
      <c r="E766" t="s">
        <v>25</v>
      </c>
      <c r="F766" t="s">
        <v>25</v>
      </c>
      <c r="G766" t="s">
        <v>26</v>
      </c>
      <c r="H766" t="s">
        <v>8</v>
      </c>
      <c r="I766" s="1">
        <v>4</v>
      </c>
      <c r="J766" s="1" t="str">
        <f t="shared" si="116"/>
        <v>0-5</v>
      </c>
      <c r="L766" s="1">
        <v>20</v>
      </c>
      <c r="M766" s="1">
        <f t="shared" si="117"/>
        <v>20</v>
      </c>
      <c r="N766" s="1">
        <f t="shared" si="127"/>
        <v>20</v>
      </c>
      <c r="O766" t="s">
        <v>1053</v>
      </c>
      <c r="P766" s="4">
        <f>[2]Sheet1!K766</f>
        <v>0.63</v>
      </c>
    </row>
    <row r="767" spans="1:16" x14ac:dyDescent="0.35">
      <c r="A767" t="s">
        <v>817</v>
      </c>
      <c r="B767" t="str">
        <f>TRIM([1]Sheet1!AD767)</f>
        <v>Bryan Long</v>
      </c>
      <c r="C767" t="str">
        <f>IF(UPPER(LEFT([1]Sheet1!W767,1))="F","FEMALE","MALE")</f>
        <v>MALE</v>
      </c>
      <c r="D767">
        <v>48</v>
      </c>
      <c r="E767" t="s">
        <v>10</v>
      </c>
      <c r="F767" t="s">
        <v>10</v>
      </c>
      <c r="G767" t="s">
        <v>11</v>
      </c>
      <c r="H767" t="s">
        <v>16</v>
      </c>
      <c r="I767" s="1">
        <v>24</v>
      </c>
      <c r="J767" s="1" t="str">
        <f t="shared" si="116"/>
        <v>21- 25</v>
      </c>
      <c r="K767" s="1">
        <v>2.2000000000000002</v>
      </c>
      <c r="L767" s="2">
        <v>40</v>
      </c>
      <c r="M767" s="1">
        <f t="shared" si="117"/>
        <v>40</v>
      </c>
      <c r="N767" s="1">
        <f t="shared" si="127"/>
        <v>40</v>
      </c>
      <c r="O767" t="s">
        <v>1053</v>
      </c>
      <c r="P767" s="4">
        <f>[2]Sheet1!K767</f>
        <v>0.67</v>
      </c>
    </row>
    <row r="768" spans="1:16" x14ac:dyDescent="0.35">
      <c r="A768" t="s">
        <v>818</v>
      </c>
      <c r="B768" t="str">
        <f>TRIM([1]Sheet1!AD768)</f>
        <v>Tammy Gomez</v>
      </c>
      <c r="C768" t="str">
        <f>IF(UPPER(LEFT([1]Sheet1!W768,1))="F","FEMALE","MALE")</f>
        <v>FEMALE</v>
      </c>
      <c r="D768">
        <v>22</v>
      </c>
      <c r="E768" t="s">
        <v>45</v>
      </c>
      <c r="F768" t="s">
        <v>45</v>
      </c>
      <c r="G768" t="s">
        <v>46</v>
      </c>
      <c r="H768" t="s">
        <v>27</v>
      </c>
      <c r="I768" s="1">
        <v>1</v>
      </c>
      <c r="J768" s="1" t="str">
        <f t="shared" si="116"/>
        <v>0-5</v>
      </c>
      <c r="K768" s="1">
        <v>3.3</v>
      </c>
      <c r="L768" s="1" t="s">
        <v>1066</v>
      </c>
      <c r="M768" s="1" t="str">
        <f t="shared" si="117"/>
        <v>USD 30</v>
      </c>
      <c r="N768" s="1">
        <v>30</v>
      </c>
      <c r="O768" t="s">
        <v>1054</v>
      </c>
      <c r="P768" s="4">
        <f>[2]Sheet1!K768</f>
        <v>0.61</v>
      </c>
    </row>
    <row r="769" spans="1:16" x14ac:dyDescent="0.35">
      <c r="A769" t="s">
        <v>819</v>
      </c>
      <c r="B769" t="str">
        <f>TRIM([1]Sheet1!AD769)</f>
        <v>Diana Raymond</v>
      </c>
      <c r="C769" t="str">
        <f>IF(UPPER(LEFT([1]Sheet1!W769,1))="F","FEMALE","MALE")</f>
        <v>FEMALE</v>
      </c>
      <c r="D769">
        <v>48</v>
      </c>
      <c r="E769" t="s">
        <v>14</v>
      </c>
      <c r="F769" t="s">
        <v>14</v>
      </c>
      <c r="G769" t="s">
        <v>15</v>
      </c>
      <c r="H769" t="s">
        <v>12</v>
      </c>
      <c r="I769" s="1">
        <v>28</v>
      </c>
      <c r="J769" s="1" t="str">
        <f t="shared" si="116"/>
        <v>26-30</v>
      </c>
      <c r="K769" s="1">
        <v>4.9000000000000004</v>
      </c>
      <c r="L769" s="1" t="s">
        <v>1066</v>
      </c>
      <c r="M769" s="1" t="str">
        <f t="shared" si="117"/>
        <v>USD 30</v>
      </c>
      <c r="N769" s="1">
        <v>30</v>
      </c>
      <c r="O769" t="s">
        <v>1053</v>
      </c>
      <c r="P769" s="4">
        <f>[2]Sheet1!K769</f>
        <v>0.77</v>
      </c>
    </row>
    <row r="770" spans="1:16" x14ac:dyDescent="0.35">
      <c r="A770" t="s">
        <v>820</v>
      </c>
      <c r="B770" t="str">
        <f>TRIM([1]Sheet1!AD770)</f>
        <v>Jessica Armstrong</v>
      </c>
      <c r="C770" t="str">
        <f>IF(UPPER(LEFT([1]Sheet1!W770,1))="F","FEMALE","MALE")</f>
        <v>FEMALE</v>
      </c>
      <c r="D770">
        <v>54</v>
      </c>
      <c r="E770" t="s">
        <v>30</v>
      </c>
      <c r="F770" t="s">
        <v>30</v>
      </c>
      <c r="G770" t="s">
        <v>11</v>
      </c>
      <c r="H770" t="s">
        <v>12</v>
      </c>
      <c r="I770" s="1">
        <v>19</v>
      </c>
      <c r="J770" s="1" t="str">
        <f t="shared" ref="J770:J833" si="128">_xlfn.IFS(I770&lt;=5,"0-5",I770&lt;=10,"5-10",I770&lt;=16,"11-16",I770&lt;=20," 16-20",I770&lt;=25,"21- 25",I770&lt;=30,"26-30",I770&gt;30,"31+")</f>
        <v xml:space="preserve"> 16-20</v>
      </c>
      <c r="K770" s="1">
        <v>0</v>
      </c>
      <c r="L770" s="1">
        <v>75</v>
      </c>
      <c r="M770" s="1">
        <f t="shared" si="117"/>
        <v>75</v>
      </c>
      <c r="N770" s="1">
        <f t="shared" ref="N770:N771" si="129">M770</f>
        <v>75</v>
      </c>
    </row>
    <row r="771" spans="1:16" x14ac:dyDescent="0.35">
      <c r="A771" t="s">
        <v>821</v>
      </c>
      <c r="B771" t="str">
        <f>TRIM([1]Sheet1!AD771)</f>
        <v>Amanda Martin</v>
      </c>
      <c r="C771" t="str">
        <f>IF(UPPER(LEFT([1]Sheet1!W771,1))="F","FEMALE","MALE")</f>
        <v>FEMALE</v>
      </c>
      <c r="D771">
        <v>52</v>
      </c>
      <c r="E771" t="s">
        <v>60</v>
      </c>
      <c r="F771" t="s">
        <v>60</v>
      </c>
      <c r="G771" t="s">
        <v>61</v>
      </c>
      <c r="H771" t="s">
        <v>27</v>
      </c>
      <c r="I771" s="1">
        <v>4</v>
      </c>
      <c r="J771" s="1" t="str">
        <f t="shared" si="128"/>
        <v>0-5</v>
      </c>
      <c r="L771" s="1">
        <v>50</v>
      </c>
      <c r="M771" s="1">
        <f t="shared" ref="M771:M834" si="130">L771</f>
        <v>50</v>
      </c>
      <c r="N771" s="1">
        <f t="shared" si="129"/>
        <v>50</v>
      </c>
      <c r="O771" t="s">
        <v>1053</v>
      </c>
      <c r="P771" s="4">
        <f>[2]Sheet1!K771</f>
        <v>0.84</v>
      </c>
    </row>
    <row r="772" spans="1:16" x14ac:dyDescent="0.35">
      <c r="A772" t="s">
        <v>822</v>
      </c>
      <c r="B772" t="str">
        <f>TRIM([1]Sheet1!AD772)</f>
        <v>Anne Hamilton</v>
      </c>
      <c r="C772" t="str">
        <f>IF(UPPER(LEFT([1]Sheet1!W772,1))="F","FEMALE","MALE")</f>
        <v>FEMALE</v>
      </c>
      <c r="D772">
        <v>39</v>
      </c>
      <c r="E772" t="s">
        <v>32</v>
      </c>
      <c r="F772" t="s">
        <v>32</v>
      </c>
      <c r="G772" t="s">
        <v>33</v>
      </c>
      <c r="H772" t="s">
        <v>18</v>
      </c>
      <c r="I772" s="1">
        <v>20</v>
      </c>
      <c r="J772" s="1" t="str">
        <f t="shared" si="128"/>
        <v xml:space="preserve"> 16-20</v>
      </c>
      <c r="L772" s="1" t="s">
        <v>1062</v>
      </c>
      <c r="M772" s="1" t="str">
        <f t="shared" si="130"/>
        <v>USD 100</v>
      </c>
      <c r="N772" s="1">
        <v>100</v>
      </c>
      <c r="O772" t="s">
        <v>1054</v>
      </c>
      <c r="P772" s="4">
        <f>[2]Sheet1!K772</f>
        <v>0.89</v>
      </c>
    </row>
    <row r="773" spans="1:16" x14ac:dyDescent="0.35">
      <c r="A773" t="s">
        <v>823</v>
      </c>
      <c r="B773" t="str">
        <f>TRIM([1]Sheet1!AD773)</f>
        <v>Heather Curtis</v>
      </c>
      <c r="C773" t="str">
        <f>IF(UPPER(LEFT([1]Sheet1!W773,1))="F","FEMALE","MALE")</f>
        <v>FEMALE</v>
      </c>
      <c r="D773">
        <v>54</v>
      </c>
      <c r="E773" t="s">
        <v>67</v>
      </c>
      <c r="F773" t="s">
        <v>67</v>
      </c>
      <c r="G773" t="s">
        <v>68</v>
      </c>
      <c r="H773" t="s">
        <v>12</v>
      </c>
      <c r="I773" s="1">
        <v>19</v>
      </c>
      <c r="J773" s="1" t="str">
        <f t="shared" si="128"/>
        <v xml:space="preserve"> 16-20</v>
      </c>
      <c r="K773" s="1">
        <v>4</v>
      </c>
      <c r="L773" s="1" t="s">
        <v>1066</v>
      </c>
      <c r="M773" s="1" t="str">
        <f t="shared" si="130"/>
        <v>USD 30</v>
      </c>
      <c r="N773" s="1">
        <v>30</v>
      </c>
      <c r="P773" s="4">
        <f>[2]Sheet1!K773</f>
        <v>0.9</v>
      </c>
    </row>
    <row r="774" spans="1:16" x14ac:dyDescent="0.35">
      <c r="A774" t="s">
        <v>824</v>
      </c>
      <c r="B774" t="str">
        <f>TRIM([1]Sheet1!AD774)</f>
        <v>Tiffany Moses</v>
      </c>
      <c r="C774" t="str">
        <f>IF(UPPER(LEFT([1]Sheet1!W774,1))="F","FEMALE","MALE")</f>
        <v>FEMALE</v>
      </c>
      <c r="D774">
        <v>22</v>
      </c>
      <c r="E774" t="s">
        <v>30</v>
      </c>
      <c r="F774" t="s">
        <v>30</v>
      </c>
      <c r="G774" t="s">
        <v>11</v>
      </c>
      <c r="H774" t="s">
        <v>41</v>
      </c>
      <c r="I774" s="1">
        <v>1</v>
      </c>
      <c r="J774" s="1" t="str">
        <f t="shared" si="128"/>
        <v>0-5</v>
      </c>
      <c r="K774" s="1">
        <v>4.8</v>
      </c>
      <c r="L774" s="1">
        <v>20</v>
      </c>
      <c r="M774" s="1">
        <f t="shared" si="130"/>
        <v>20</v>
      </c>
      <c r="N774" s="1">
        <f t="shared" ref="N774:N775" si="131">M774</f>
        <v>20</v>
      </c>
      <c r="O774" t="s">
        <v>1053</v>
      </c>
      <c r="P774" s="4">
        <f>[2]Sheet1!K774</f>
        <v>0.87</v>
      </c>
    </row>
    <row r="775" spans="1:16" x14ac:dyDescent="0.35">
      <c r="A775" t="s">
        <v>825</v>
      </c>
      <c r="B775" t="str">
        <f>TRIM([1]Sheet1!AD775)</f>
        <v>Jacqueline Moon</v>
      </c>
      <c r="C775" t="str">
        <f>IF(UPPER(LEFT([1]Sheet1!W775,1))="F","FEMALE","MALE")</f>
        <v>FEMALE</v>
      </c>
      <c r="D775">
        <v>29</v>
      </c>
      <c r="E775" t="s">
        <v>85</v>
      </c>
      <c r="F775" t="s">
        <v>85</v>
      </c>
      <c r="G775" t="s">
        <v>86</v>
      </c>
      <c r="H775" t="s">
        <v>12</v>
      </c>
      <c r="I775" s="1">
        <v>8</v>
      </c>
      <c r="J775" s="1" t="str">
        <f t="shared" si="128"/>
        <v>5-10</v>
      </c>
      <c r="K775" s="1">
        <v>0</v>
      </c>
      <c r="L775" s="1">
        <v>50</v>
      </c>
      <c r="M775" s="1">
        <f t="shared" si="130"/>
        <v>50</v>
      </c>
      <c r="N775" s="1">
        <f t="shared" si="131"/>
        <v>50</v>
      </c>
      <c r="O775" t="s">
        <v>1053</v>
      </c>
      <c r="P775" s="4">
        <f>[2]Sheet1!K775</f>
        <v>0.77</v>
      </c>
    </row>
    <row r="776" spans="1:16" x14ac:dyDescent="0.35">
      <c r="A776" t="s">
        <v>826</v>
      </c>
      <c r="B776" t="str">
        <f>TRIM([1]Sheet1!AD776)</f>
        <v>James Campbell</v>
      </c>
      <c r="C776" t="str">
        <f>IF(UPPER(LEFT([1]Sheet1!W776,1))="F","FEMALE","MALE")</f>
        <v>MALE</v>
      </c>
      <c r="D776">
        <v>23</v>
      </c>
      <c r="E776" t="s">
        <v>105</v>
      </c>
      <c r="F776" t="s">
        <v>105</v>
      </c>
      <c r="G776" t="s">
        <v>38</v>
      </c>
      <c r="H776" t="s">
        <v>48</v>
      </c>
      <c r="I776" s="1">
        <v>3</v>
      </c>
      <c r="J776" s="1" t="str">
        <f t="shared" si="128"/>
        <v>0-5</v>
      </c>
      <c r="K776" s="1">
        <v>1.6</v>
      </c>
      <c r="L776" s="1" t="s">
        <v>1066</v>
      </c>
      <c r="M776" s="1" t="str">
        <f t="shared" si="130"/>
        <v>USD 30</v>
      </c>
      <c r="N776" s="1">
        <v>30</v>
      </c>
      <c r="O776" t="s">
        <v>1054</v>
      </c>
      <c r="P776" s="4">
        <f>[2]Sheet1!K776</f>
        <v>0.72</v>
      </c>
    </row>
    <row r="777" spans="1:16" x14ac:dyDescent="0.35">
      <c r="A777" t="s">
        <v>827</v>
      </c>
      <c r="B777" t="str">
        <f>TRIM([1]Sheet1!AD777)</f>
        <v>Melissa Vasquez</v>
      </c>
      <c r="C777" t="str">
        <f>IF(UPPER(LEFT([1]Sheet1!W777,1))="F","FEMALE","MALE")</f>
        <v>FEMALE</v>
      </c>
      <c r="D777">
        <v>58</v>
      </c>
      <c r="E777" t="s">
        <v>99</v>
      </c>
      <c r="F777" t="s">
        <v>99</v>
      </c>
      <c r="G777" t="s">
        <v>38</v>
      </c>
      <c r="H777" t="s">
        <v>48</v>
      </c>
      <c r="I777" s="1">
        <v>30</v>
      </c>
      <c r="J777" s="1" t="str">
        <f t="shared" si="128"/>
        <v>26-30</v>
      </c>
      <c r="K777" s="1">
        <v>1.3</v>
      </c>
      <c r="L777" s="1">
        <v>50</v>
      </c>
      <c r="M777" s="1">
        <f t="shared" si="130"/>
        <v>50</v>
      </c>
      <c r="N777" s="1">
        <f t="shared" ref="N777:N779" si="132">M777</f>
        <v>50</v>
      </c>
      <c r="O777" t="s">
        <v>1054</v>
      </c>
      <c r="P777" s="4">
        <f>[2]Sheet1!K777</f>
        <v>0.87</v>
      </c>
    </row>
    <row r="778" spans="1:16" x14ac:dyDescent="0.35">
      <c r="A778" t="s">
        <v>828</v>
      </c>
      <c r="B778" t="str">
        <f>TRIM([1]Sheet1!AD778)</f>
        <v>Katherine Carlson</v>
      </c>
      <c r="C778" t="str">
        <f>IF(UPPER(LEFT([1]Sheet1!W778,1))="F","FEMALE","MALE")</f>
        <v>FEMALE</v>
      </c>
      <c r="D778">
        <v>56</v>
      </c>
      <c r="E778" t="s">
        <v>96</v>
      </c>
      <c r="F778" t="s">
        <v>96</v>
      </c>
      <c r="G778" t="s">
        <v>97</v>
      </c>
      <c r="H778" t="s">
        <v>8</v>
      </c>
      <c r="I778" s="1">
        <v>3</v>
      </c>
      <c r="J778" s="1" t="str">
        <f t="shared" si="128"/>
        <v>0-5</v>
      </c>
      <c r="K778" s="1">
        <v>4.0999999999999996</v>
      </c>
      <c r="L778" s="1">
        <v>40</v>
      </c>
      <c r="M778" s="1">
        <f t="shared" si="130"/>
        <v>40</v>
      </c>
      <c r="N778" s="1">
        <f t="shared" si="132"/>
        <v>40</v>
      </c>
      <c r="O778" t="s">
        <v>1054</v>
      </c>
      <c r="P778" s="4">
        <f>[2]Sheet1!K778</f>
        <v>0.89</v>
      </c>
    </row>
    <row r="779" spans="1:16" x14ac:dyDescent="0.35">
      <c r="A779" t="s">
        <v>829</v>
      </c>
      <c r="B779" t="str">
        <f>TRIM([1]Sheet1!AD779)</f>
        <v>Adam Clay</v>
      </c>
      <c r="C779" t="str">
        <f>IF(UPPER(LEFT([1]Sheet1!W779,1))="F","FEMALE","MALE")</f>
        <v>MALE</v>
      </c>
      <c r="D779">
        <v>48</v>
      </c>
      <c r="E779" t="s">
        <v>32</v>
      </c>
      <c r="F779" t="s">
        <v>32</v>
      </c>
      <c r="G779" t="s">
        <v>33</v>
      </c>
      <c r="H779" t="s">
        <v>18</v>
      </c>
      <c r="I779" s="1">
        <v>19</v>
      </c>
      <c r="J779" s="1" t="str">
        <f t="shared" si="128"/>
        <v xml:space="preserve"> 16-20</v>
      </c>
      <c r="K779" s="1">
        <v>1.5</v>
      </c>
      <c r="L779" s="1">
        <v>40</v>
      </c>
      <c r="M779" s="1">
        <f t="shared" si="130"/>
        <v>40</v>
      </c>
      <c r="N779" s="1">
        <f t="shared" si="132"/>
        <v>40</v>
      </c>
      <c r="O779" t="s">
        <v>1053</v>
      </c>
      <c r="P779" s="4">
        <f>[2]Sheet1!K779</f>
        <v>0.87</v>
      </c>
    </row>
    <row r="780" spans="1:16" x14ac:dyDescent="0.35">
      <c r="A780" t="s">
        <v>830</v>
      </c>
      <c r="B780" t="str">
        <f>TRIM([1]Sheet1!AD780)</f>
        <v>Amy Combs</v>
      </c>
      <c r="C780" t="str">
        <f>IF(UPPER(LEFT([1]Sheet1!W780,1))="F","FEMALE","MALE")</f>
        <v>FEMALE</v>
      </c>
      <c r="D780">
        <v>31</v>
      </c>
      <c r="E780" t="s">
        <v>67</v>
      </c>
      <c r="F780" t="s">
        <v>67</v>
      </c>
      <c r="G780" t="s">
        <v>68</v>
      </c>
      <c r="H780" t="s">
        <v>12</v>
      </c>
      <c r="I780" s="1">
        <v>11</v>
      </c>
      <c r="J780" s="1" t="str">
        <f t="shared" si="128"/>
        <v>11-16</v>
      </c>
      <c r="K780" s="1">
        <v>4.3</v>
      </c>
      <c r="L780" s="1" t="s">
        <v>1064</v>
      </c>
      <c r="M780" s="1" t="str">
        <f t="shared" si="130"/>
        <v>USD 40</v>
      </c>
      <c r="N780" s="1">
        <v>40</v>
      </c>
      <c r="O780" t="s">
        <v>1054</v>
      </c>
      <c r="P780" s="4">
        <f>[2]Sheet1!K780</f>
        <v>0.76</v>
      </c>
    </row>
    <row r="781" spans="1:16" x14ac:dyDescent="0.35">
      <c r="A781" t="s">
        <v>831</v>
      </c>
      <c r="B781" t="str">
        <f>TRIM([1]Sheet1!AD781)</f>
        <v>Anthony Case</v>
      </c>
      <c r="C781" t="str">
        <f>IF(UPPER(LEFT([1]Sheet1!W781,1))="F","FEMALE","MALE")</f>
        <v>MALE</v>
      </c>
      <c r="D781">
        <v>44</v>
      </c>
      <c r="E781" t="s">
        <v>10</v>
      </c>
      <c r="F781" t="s">
        <v>10</v>
      </c>
      <c r="G781" t="s">
        <v>11</v>
      </c>
      <c r="H781" t="s">
        <v>62</v>
      </c>
      <c r="I781" s="1">
        <v>26</v>
      </c>
      <c r="J781" s="1" t="str">
        <f t="shared" si="128"/>
        <v>26-30</v>
      </c>
      <c r="K781" s="1">
        <v>1.6</v>
      </c>
      <c r="L781" s="1">
        <v>50</v>
      </c>
      <c r="M781" s="1">
        <f t="shared" si="130"/>
        <v>50</v>
      </c>
      <c r="N781" s="1">
        <f t="shared" ref="N781:N784" si="133">M781</f>
        <v>50</v>
      </c>
      <c r="P781" s="4">
        <f>[2]Sheet1!K781</f>
        <v>1</v>
      </c>
    </row>
    <row r="782" spans="1:16" x14ac:dyDescent="0.35">
      <c r="A782" t="s">
        <v>832</v>
      </c>
      <c r="B782" t="str">
        <f>TRIM([1]Sheet1!AD782)</f>
        <v>Kimberly Brown</v>
      </c>
      <c r="C782" t="str">
        <f>IF(UPPER(LEFT([1]Sheet1!W782,1))="F","FEMALE","MALE")</f>
        <v>FEMALE</v>
      </c>
      <c r="D782">
        <v>42</v>
      </c>
      <c r="E782" t="s">
        <v>77</v>
      </c>
      <c r="F782" t="s">
        <v>77</v>
      </c>
      <c r="G782" t="s">
        <v>78</v>
      </c>
      <c r="H782" t="s">
        <v>12</v>
      </c>
      <c r="I782" s="1">
        <v>10</v>
      </c>
      <c r="J782" s="1" t="str">
        <f t="shared" si="128"/>
        <v>5-10</v>
      </c>
      <c r="K782" s="1">
        <v>3.7</v>
      </c>
      <c r="L782" s="1">
        <v>100</v>
      </c>
      <c r="M782" s="1">
        <f t="shared" si="130"/>
        <v>100</v>
      </c>
      <c r="N782" s="1">
        <f t="shared" si="133"/>
        <v>100</v>
      </c>
      <c r="O782" t="s">
        <v>1054</v>
      </c>
      <c r="P782" s="4">
        <f>[2]Sheet1!K782</f>
        <v>0.94</v>
      </c>
    </row>
    <row r="783" spans="1:16" x14ac:dyDescent="0.35">
      <c r="A783" t="s">
        <v>833</v>
      </c>
      <c r="B783" t="str">
        <f>TRIM([1]Sheet1!AD783)</f>
        <v>Joshua Holloway</v>
      </c>
      <c r="C783" t="str">
        <f>IF(UPPER(LEFT([1]Sheet1!W783,1))="F","FEMALE","MALE")</f>
        <v>MALE</v>
      </c>
      <c r="D783">
        <v>59</v>
      </c>
      <c r="E783" t="s">
        <v>30</v>
      </c>
      <c r="F783" t="s">
        <v>30</v>
      </c>
      <c r="G783" t="s">
        <v>11</v>
      </c>
      <c r="H783" t="s">
        <v>41</v>
      </c>
      <c r="I783" s="1">
        <v>17</v>
      </c>
      <c r="J783" s="1" t="str">
        <f t="shared" si="128"/>
        <v xml:space="preserve"> 16-20</v>
      </c>
      <c r="K783" s="1">
        <v>1.4</v>
      </c>
      <c r="L783" s="1">
        <v>50</v>
      </c>
      <c r="M783" s="1">
        <f t="shared" si="130"/>
        <v>50</v>
      </c>
      <c r="N783" s="1">
        <f t="shared" si="133"/>
        <v>50</v>
      </c>
      <c r="O783" t="s">
        <v>1054</v>
      </c>
    </row>
    <row r="784" spans="1:16" x14ac:dyDescent="0.35">
      <c r="A784" t="s">
        <v>834</v>
      </c>
      <c r="B784" t="str">
        <f>TRIM([1]Sheet1!AD784)</f>
        <v>Cynthia Walton</v>
      </c>
      <c r="C784" t="str">
        <f>IF(UPPER(LEFT([1]Sheet1!W784,1))="F","FEMALE","MALE")</f>
        <v>FEMALE</v>
      </c>
      <c r="E784" t="s">
        <v>37</v>
      </c>
      <c r="F784" t="s">
        <v>37</v>
      </c>
      <c r="G784" t="s">
        <v>38</v>
      </c>
      <c r="H784" t="s">
        <v>8</v>
      </c>
      <c r="I784" s="1">
        <v>9</v>
      </c>
      <c r="J784" s="1" t="str">
        <f t="shared" si="128"/>
        <v>5-10</v>
      </c>
      <c r="K784" s="1">
        <v>4.5</v>
      </c>
      <c r="L784" s="2">
        <v>100</v>
      </c>
      <c r="M784" s="1">
        <f t="shared" si="130"/>
        <v>100</v>
      </c>
      <c r="N784" s="1">
        <f t="shared" si="133"/>
        <v>100</v>
      </c>
      <c r="O784" t="s">
        <v>1054</v>
      </c>
      <c r="P784" s="3">
        <f>[2]Sheet1!K784/100</f>
        <v>0.83</v>
      </c>
    </row>
    <row r="785" spans="1:16" x14ac:dyDescent="0.35">
      <c r="A785" t="s">
        <v>835</v>
      </c>
      <c r="B785" t="str">
        <f>TRIM([1]Sheet1!AD785)</f>
        <v>Shawn Delgado</v>
      </c>
      <c r="C785" t="str">
        <f>IF(UPPER(LEFT([1]Sheet1!W785,1))="F","FEMALE","MALE")</f>
        <v>MALE</v>
      </c>
      <c r="D785">
        <v>21</v>
      </c>
      <c r="E785" t="s">
        <v>96</v>
      </c>
      <c r="F785" t="s">
        <v>96</v>
      </c>
      <c r="G785" t="s">
        <v>97</v>
      </c>
      <c r="H785" t="s">
        <v>27</v>
      </c>
      <c r="I785" s="1">
        <v>0</v>
      </c>
      <c r="J785" s="1" t="str">
        <f t="shared" si="128"/>
        <v>0-5</v>
      </c>
      <c r="K785" s="1">
        <v>3.7</v>
      </c>
      <c r="L785" s="1" t="s">
        <v>1064</v>
      </c>
      <c r="M785" s="1" t="str">
        <f t="shared" si="130"/>
        <v>USD 40</v>
      </c>
      <c r="N785" s="1">
        <v>40</v>
      </c>
      <c r="O785" t="s">
        <v>1053</v>
      </c>
      <c r="P785" s="4">
        <f>[2]Sheet1!K785</f>
        <v>0.74</v>
      </c>
    </row>
    <row r="786" spans="1:16" x14ac:dyDescent="0.35">
      <c r="A786" t="s">
        <v>836</v>
      </c>
      <c r="B786" t="str">
        <f>TRIM([1]Sheet1!AD786)</f>
        <v>Jeremy Smith</v>
      </c>
      <c r="C786" t="str">
        <f>IF(UPPER(LEFT([1]Sheet1!W786,1))="F","FEMALE","MALE")</f>
        <v>MALE</v>
      </c>
      <c r="D786">
        <v>53</v>
      </c>
      <c r="E786" t="s">
        <v>35</v>
      </c>
      <c r="F786" t="s">
        <v>35</v>
      </c>
      <c r="G786" t="s">
        <v>11</v>
      </c>
      <c r="H786" t="s">
        <v>48</v>
      </c>
      <c r="I786" s="1">
        <v>5</v>
      </c>
      <c r="J786" s="1" t="str">
        <f t="shared" si="128"/>
        <v>0-5</v>
      </c>
      <c r="K786" s="1">
        <v>1.1000000000000001</v>
      </c>
      <c r="L786" s="1">
        <v>75</v>
      </c>
      <c r="M786" s="1">
        <f t="shared" si="130"/>
        <v>75</v>
      </c>
      <c r="N786" s="1">
        <f t="shared" ref="N786:N795" si="134">M786</f>
        <v>75</v>
      </c>
      <c r="O786" t="s">
        <v>1053</v>
      </c>
      <c r="P786" s="3">
        <f>[2]Sheet1!K786/100</f>
        <v>0.92</v>
      </c>
    </row>
    <row r="787" spans="1:16" x14ac:dyDescent="0.35">
      <c r="A787" t="s">
        <v>837</v>
      </c>
      <c r="B787" t="str">
        <f>TRIM([1]Sheet1!AD787)</f>
        <v>Marc Ortiz</v>
      </c>
      <c r="C787" t="str">
        <f>IF(UPPER(LEFT([1]Sheet1!W787,1))="F","FEMALE","MALE")</f>
        <v>MALE</v>
      </c>
      <c r="D787">
        <v>35</v>
      </c>
      <c r="E787" t="s">
        <v>37</v>
      </c>
      <c r="F787" t="s">
        <v>37</v>
      </c>
      <c r="G787" t="s">
        <v>38</v>
      </c>
      <c r="H787" t="s">
        <v>12</v>
      </c>
      <c r="I787" s="1">
        <v>15</v>
      </c>
      <c r="J787" s="1" t="str">
        <f t="shared" si="128"/>
        <v>11-16</v>
      </c>
      <c r="K787" s="1">
        <v>3.7</v>
      </c>
      <c r="M787" s="1">
        <f t="shared" si="130"/>
        <v>0</v>
      </c>
      <c r="N787" s="1">
        <f t="shared" si="134"/>
        <v>0</v>
      </c>
      <c r="O787" t="s">
        <v>1053</v>
      </c>
      <c r="P787" s="4">
        <f>[2]Sheet1!K787</f>
        <v>0.66</v>
      </c>
    </row>
    <row r="788" spans="1:16" x14ac:dyDescent="0.35">
      <c r="A788" t="s">
        <v>838</v>
      </c>
      <c r="B788" t="str">
        <f>TRIM([1]Sheet1!AD788)</f>
        <v>Michelle Gregory</v>
      </c>
      <c r="C788" t="str">
        <f>IF(UPPER(LEFT([1]Sheet1!W788,1))="F","FEMALE","MALE")</f>
        <v>FEMALE</v>
      </c>
      <c r="D788">
        <v>25</v>
      </c>
      <c r="E788" t="s">
        <v>57</v>
      </c>
      <c r="F788" t="s">
        <v>57</v>
      </c>
      <c r="G788" t="s">
        <v>58</v>
      </c>
      <c r="H788" t="s">
        <v>62</v>
      </c>
      <c r="I788" s="1">
        <v>3</v>
      </c>
      <c r="J788" s="1" t="str">
        <f t="shared" si="128"/>
        <v>0-5</v>
      </c>
      <c r="K788" s="1">
        <v>3.2</v>
      </c>
      <c r="L788" s="2">
        <v>50</v>
      </c>
      <c r="M788" s="1">
        <f t="shared" si="130"/>
        <v>50</v>
      </c>
      <c r="N788" s="1">
        <f t="shared" si="134"/>
        <v>50</v>
      </c>
      <c r="O788" t="s">
        <v>1054</v>
      </c>
      <c r="P788" s="4">
        <f>[2]Sheet1!K788</f>
        <v>0.74</v>
      </c>
    </row>
    <row r="789" spans="1:16" x14ac:dyDescent="0.35">
      <c r="A789" t="s">
        <v>839</v>
      </c>
      <c r="B789" t="str">
        <f>TRIM([1]Sheet1!AD789)</f>
        <v>Melanie Gay</v>
      </c>
      <c r="C789" t="str">
        <f>IF(UPPER(LEFT([1]Sheet1!W789,1))="F","FEMALE","MALE")</f>
        <v>FEMALE</v>
      </c>
      <c r="D789">
        <v>23</v>
      </c>
      <c r="E789" t="s">
        <v>6</v>
      </c>
      <c r="F789" t="s">
        <v>6</v>
      </c>
      <c r="G789" t="s">
        <v>7</v>
      </c>
      <c r="H789" t="s">
        <v>39</v>
      </c>
      <c r="I789" s="1">
        <v>1</v>
      </c>
      <c r="J789" s="1" t="str">
        <f t="shared" si="128"/>
        <v>0-5</v>
      </c>
      <c r="K789" s="1">
        <v>5</v>
      </c>
      <c r="L789" s="1">
        <v>30</v>
      </c>
      <c r="M789" s="1">
        <f t="shared" si="130"/>
        <v>30</v>
      </c>
      <c r="N789" s="1">
        <f t="shared" si="134"/>
        <v>30</v>
      </c>
      <c r="O789" t="s">
        <v>1053</v>
      </c>
      <c r="P789" s="4">
        <f>[2]Sheet1!K789</f>
        <v>0.97</v>
      </c>
    </row>
    <row r="790" spans="1:16" x14ac:dyDescent="0.35">
      <c r="A790" t="s">
        <v>840</v>
      </c>
      <c r="B790" t="str">
        <f>TRIM([1]Sheet1!AD790)</f>
        <v>Brittany Lambert</v>
      </c>
      <c r="C790" t="str">
        <f>IF(UPPER(LEFT([1]Sheet1!W790,1))="F","FEMALE","MALE")</f>
        <v>FEMALE</v>
      </c>
      <c r="D790">
        <v>56</v>
      </c>
      <c r="E790" t="s">
        <v>77</v>
      </c>
      <c r="F790" t="s">
        <v>77</v>
      </c>
      <c r="G790" t="s">
        <v>78</v>
      </c>
      <c r="H790" t="s">
        <v>16</v>
      </c>
      <c r="I790" s="1">
        <v>13</v>
      </c>
      <c r="J790" s="1" t="str">
        <f t="shared" si="128"/>
        <v>11-16</v>
      </c>
      <c r="K790" s="1">
        <v>0</v>
      </c>
      <c r="L790" s="1">
        <v>30</v>
      </c>
      <c r="M790" s="1">
        <f t="shared" si="130"/>
        <v>30</v>
      </c>
      <c r="N790" s="1">
        <f t="shared" si="134"/>
        <v>30</v>
      </c>
      <c r="P790" s="3">
        <f>[2]Sheet1!K790/100</f>
        <v>0.77</v>
      </c>
    </row>
    <row r="791" spans="1:16" x14ac:dyDescent="0.35">
      <c r="A791" t="s">
        <v>841</v>
      </c>
      <c r="B791" t="str">
        <f>TRIM([1]Sheet1!AD791)</f>
        <v>Mary Hernandez</v>
      </c>
      <c r="C791" t="str">
        <f>IF(UPPER(LEFT([1]Sheet1!W791,1))="F","FEMALE","MALE")</f>
        <v>FEMALE</v>
      </c>
      <c r="D791">
        <v>31</v>
      </c>
      <c r="E791" t="s">
        <v>99</v>
      </c>
      <c r="F791" t="s">
        <v>99</v>
      </c>
      <c r="G791" t="s">
        <v>38</v>
      </c>
      <c r="H791" t="s">
        <v>39</v>
      </c>
      <c r="I791" s="1">
        <v>6</v>
      </c>
      <c r="J791" s="1" t="str">
        <f t="shared" si="128"/>
        <v>5-10</v>
      </c>
      <c r="K791" s="1">
        <v>3.5</v>
      </c>
      <c r="M791" s="1">
        <f t="shared" si="130"/>
        <v>0</v>
      </c>
      <c r="N791" s="1">
        <f t="shared" si="134"/>
        <v>0</v>
      </c>
      <c r="O791" t="s">
        <v>1053</v>
      </c>
      <c r="P791" s="4">
        <f>[2]Sheet1!K791</f>
        <v>0.86</v>
      </c>
    </row>
    <row r="792" spans="1:16" x14ac:dyDescent="0.35">
      <c r="A792" t="s">
        <v>842</v>
      </c>
      <c r="B792" t="str">
        <f>TRIM([1]Sheet1!AD792)</f>
        <v>Jonathan Jones</v>
      </c>
      <c r="C792" t="str">
        <f>IF(UPPER(LEFT([1]Sheet1!W792,1))="F","FEMALE","MALE")</f>
        <v>MALE</v>
      </c>
      <c r="D792">
        <v>24</v>
      </c>
      <c r="E792" t="s">
        <v>30</v>
      </c>
      <c r="F792" t="s">
        <v>30</v>
      </c>
      <c r="G792" t="s">
        <v>11</v>
      </c>
      <c r="H792" t="s">
        <v>41</v>
      </c>
      <c r="I792" s="1">
        <v>4</v>
      </c>
      <c r="J792" s="1" t="str">
        <f t="shared" si="128"/>
        <v>0-5</v>
      </c>
      <c r="K792" s="1">
        <v>3.1</v>
      </c>
      <c r="L792" s="1">
        <v>50</v>
      </c>
      <c r="M792" s="1">
        <f t="shared" si="130"/>
        <v>50</v>
      </c>
      <c r="N792" s="1">
        <f t="shared" si="134"/>
        <v>50</v>
      </c>
      <c r="O792" t="s">
        <v>1053</v>
      </c>
      <c r="P792" s="4">
        <f>[2]Sheet1!K792</f>
        <v>0.95</v>
      </c>
    </row>
    <row r="793" spans="1:16" x14ac:dyDescent="0.35">
      <c r="A793" t="s">
        <v>843</v>
      </c>
      <c r="B793" t="str">
        <f>TRIM([1]Sheet1!AD793)</f>
        <v>Gina Williams</v>
      </c>
      <c r="C793" t="str">
        <f>IF(UPPER(LEFT([1]Sheet1!W793,1))="F","FEMALE","MALE")</f>
        <v>FEMALE</v>
      </c>
      <c r="D793">
        <v>35</v>
      </c>
      <c r="E793" t="s">
        <v>57</v>
      </c>
      <c r="F793" t="s">
        <v>57</v>
      </c>
      <c r="G793" t="s">
        <v>58</v>
      </c>
      <c r="H793" t="s">
        <v>41</v>
      </c>
      <c r="I793" s="1">
        <v>7</v>
      </c>
      <c r="J793" s="1" t="str">
        <f t="shared" si="128"/>
        <v>5-10</v>
      </c>
      <c r="K793" s="1">
        <v>3.9</v>
      </c>
      <c r="M793" s="1">
        <f t="shared" si="130"/>
        <v>0</v>
      </c>
      <c r="N793" s="1">
        <f t="shared" si="134"/>
        <v>0</v>
      </c>
      <c r="O793" t="s">
        <v>1053</v>
      </c>
      <c r="P793" s="4">
        <f>[2]Sheet1!K793</f>
        <v>0.72</v>
      </c>
    </row>
    <row r="794" spans="1:16" x14ac:dyDescent="0.35">
      <c r="A794" t="s">
        <v>844</v>
      </c>
      <c r="B794" t="str">
        <f>TRIM([1]Sheet1!AD794)</f>
        <v>Kelly Lawson</v>
      </c>
      <c r="C794" t="str">
        <f>IF(UPPER(LEFT([1]Sheet1!W794,1))="F","FEMALE","MALE")</f>
        <v>FEMALE</v>
      </c>
      <c r="D794">
        <v>20</v>
      </c>
      <c r="E794" t="s">
        <v>105</v>
      </c>
      <c r="F794" t="s">
        <v>105</v>
      </c>
      <c r="G794" t="s">
        <v>38</v>
      </c>
      <c r="H794" t="s">
        <v>23</v>
      </c>
      <c r="I794" s="1">
        <v>1</v>
      </c>
      <c r="J794" s="1" t="str">
        <f t="shared" si="128"/>
        <v>0-5</v>
      </c>
      <c r="K794" s="1">
        <v>3.5</v>
      </c>
      <c r="M794" s="1">
        <f t="shared" si="130"/>
        <v>0</v>
      </c>
      <c r="N794" s="1">
        <f t="shared" si="134"/>
        <v>0</v>
      </c>
      <c r="O794" t="s">
        <v>1053</v>
      </c>
      <c r="P794" s="4">
        <f>[2]Sheet1!K794</f>
        <v>0.71</v>
      </c>
    </row>
    <row r="795" spans="1:16" x14ac:dyDescent="0.35">
      <c r="A795" t="s">
        <v>845</v>
      </c>
      <c r="B795" t="str">
        <f>TRIM([1]Sheet1!AD795)</f>
        <v>Keith Smith</v>
      </c>
      <c r="C795" t="str">
        <f>IF(UPPER(LEFT([1]Sheet1!W795,1))="F","FEMALE","MALE")</f>
        <v>MALE</v>
      </c>
      <c r="D795">
        <v>26</v>
      </c>
      <c r="E795" t="s">
        <v>10</v>
      </c>
      <c r="F795" t="s">
        <v>10</v>
      </c>
      <c r="G795" t="s">
        <v>11</v>
      </c>
      <c r="H795" t="s">
        <v>27</v>
      </c>
      <c r="I795" s="1">
        <v>5</v>
      </c>
      <c r="J795" s="1" t="str">
        <f t="shared" si="128"/>
        <v>0-5</v>
      </c>
      <c r="K795" s="1">
        <v>2.5</v>
      </c>
      <c r="L795" s="2">
        <v>100</v>
      </c>
      <c r="M795" s="1">
        <f t="shared" si="130"/>
        <v>100</v>
      </c>
      <c r="N795" s="1">
        <f t="shared" si="134"/>
        <v>100</v>
      </c>
      <c r="O795" t="s">
        <v>1054</v>
      </c>
      <c r="P795" s="4">
        <f>[2]Sheet1!K795</f>
        <v>0.93</v>
      </c>
    </row>
    <row r="796" spans="1:16" x14ac:dyDescent="0.35">
      <c r="A796" t="s">
        <v>846</v>
      </c>
      <c r="B796" t="str">
        <f>TRIM([1]Sheet1!AD796)</f>
        <v>Christopher Hunter</v>
      </c>
      <c r="C796" t="str">
        <f>IF(UPPER(LEFT([1]Sheet1!W796,1))="F","FEMALE","MALE")</f>
        <v>MALE</v>
      </c>
      <c r="D796">
        <v>54</v>
      </c>
      <c r="E796" t="s">
        <v>35</v>
      </c>
      <c r="F796" t="s">
        <v>35</v>
      </c>
      <c r="G796" t="s">
        <v>11</v>
      </c>
      <c r="H796" t="s">
        <v>48</v>
      </c>
      <c r="I796" s="1">
        <v>29</v>
      </c>
      <c r="J796" s="1" t="str">
        <f t="shared" si="128"/>
        <v>26-30</v>
      </c>
      <c r="K796" s="1">
        <v>3.1</v>
      </c>
      <c r="L796" s="1" t="s">
        <v>1064</v>
      </c>
      <c r="M796" s="1" t="str">
        <f t="shared" si="130"/>
        <v>USD 40</v>
      </c>
      <c r="N796" s="1">
        <v>40</v>
      </c>
      <c r="O796" t="s">
        <v>1054</v>
      </c>
    </row>
    <row r="797" spans="1:16" x14ac:dyDescent="0.35">
      <c r="A797" t="s">
        <v>847</v>
      </c>
      <c r="B797" t="str">
        <f>TRIM([1]Sheet1!AD797)</f>
        <v>Dwayne Parks</v>
      </c>
      <c r="C797" t="str">
        <f>IF(UPPER(LEFT([1]Sheet1!W797,1))="F","FEMALE","MALE")</f>
        <v>MALE</v>
      </c>
      <c r="D797">
        <v>53</v>
      </c>
      <c r="E797" t="s">
        <v>67</v>
      </c>
      <c r="F797" t="s">
        <v>67</v>
      </c>
      <c r="G797" t="s">
        <v>68</v>
      </c>
      <c r="H797" t="s">
        <v>41</v>
      </c>
      <c r="I797" s="1">
        <v>12</v>
      </c>
      <c r="J797" s="1" t="str">
        <f t="shared" si="128"/>
        <v>11-16</v>
      </c>
      <c r="K797" s="1">
        <v>4.7</v>
      </c>
      <c r="L797" s="1">
        <v>100</v>
      </c>
      <c r="M797" s="1">
        <f t="shared" si="130"/>
        <v>100</v>
      </c>
      <c r="N797" s="1">
        <f t="shared" ref="N797:N802" si="135">M797</f>
        <v>100</v>
      </c>
      <c r="O797" t="s">
        <v>1054</v>
      </c>
      <c r="P797" s="4">
        <f>[2]Sheet1!K797</f>
        <v>0.87</v>
      </c>
    </row>
    <row r="798" spans="1:16" x14ac:dyDescent="0.35">
      <c r="A798" t="s">
        <v>848</v>
      </c>
      <c r="B798" t="str">
        <f>TRIM([1]Sheet1!AD798)</f>
        <v>Mary Hall</v>
      </c>
      <c r="C798" t="str">
        <f>IF(UPPER(LEFT([1]Sheet1!W798,1))="F","FEMALE","MALE")</f>
        <v>FEMALE</v>
      </c>
      <c r="D798">
        <v>33</v>
      </c>
      <c r="E798" t="s">
        <v>70</v>
      </c>
      <c r="F798" t="s">
        <v>70</v>
      </c>
      <c r="G798" t="s">
        <v>11</v>
      </c>
      <c r="H798" t="s">
        <v>48</v>
      </c>
      <c r="I798" s="1">
        <v>4</v>
      </c>
      <c r="J798" s="1" t="str">
        <f t="shared" si="128"/>
        <v>0-5</v>
      </c>
      <c r="K798" s="1">
        <v>1.9</v>
      </c>
      <c r="M798" s="1">
        <f t="shared" si="130"/>
        <v>0</v>
      </c>
      <c r="N798" s="1">
        <f t="shared" si="135"/>
        <v>0</v>
      </c>
      <c r="O798" t="s">
        <v>1053</v>
      </c>
      <c r="P798" s="3">
        <f>[2]Sheet1!K798/100</f>
        <v>0.73</v>
      </c>
    </row>
    <row r="799" spans="1:16" x14ac:dyDescent="0.35">
      <c r="A799" t="s">
        <v>849</v>
      </c>
      <c r="B799" t="str">
        <f>TRIM([1]Sheet1!AD799)</f>
        <v>Jake Gilmore</v>
      </c>
      <c r="C799" t="str">
        <f>IF(UPPER(LEFT([1]Sheet1!W799,1))="F","FEMALE","MALE")</f>
        <v>MALE</v>
      </c>
      <c r="D799">
        <v>43</v>
      </c>
      <c r="E799" t="s">
        <v>21</v>
      </c>
      <c r="F799" t="s">
        <v>21</v>
      </c>
      <c r="G799" t="s">
        <v>22</v>
      </c>
      <c r="H799" t="s">
        <v>18</v>
      </c>
      <c r="I799" s="1">
        <v>12</v>
      </c>
      <c r="J799" s="1" t="str">
        <f t="shared" si="128"/>
        <v>11-16</v>
      </c>
      <c r="K799" s="1">
        <v>1.6</v>
      </c>
      <c r="M799" s="1">
        <f t="shared" si="130"/>
        <v>0</v>
      </c>
      <c r="N799" s="1">
        <f t="shared" si="135"/>
        <v>0</v>
      </c>
      <c r="O799" t="s">
        <v>1054</v>
      </c>
      <c r="P799" s="4">
        <f>[2]Sheet1!K799</f>
        <v>0.74</v>
      </c>
    </row>
    <row r="800" spans="1:16" x14ac:dyDescent="0.35">
      <c r="A800" t="s">
        <v>850</v>
      </c>
      <c r="B800" t="str">
        <f>TRIM([1]Sheet1!AD800)</f>
        <v>Mark Lopez</v>
      </c>
      <c r="C800" t="str">
        <f>IF(UPPER(LEFT([1]Sheet1!W800,1))="F","FEMALE","MALE")</f>
        <v>MALE</v>
      </c>
      <c r="D800">
        <v>37</v>
      </c>
      <c r="E800" t="s">
        <v>70</v>
      </c>
      <c r="F800" t="s">
        <v>70</v>
      </c>
      <c r="G800" t="s">
        <v>11</v>
      </c>
      <c r="H800" t="s">
        <v>48</v>
      </c>
      <c r="I800" s="1">
        <v>3</v>
      </c>
      <c r="J800" s="1" t="str">
        <f t="shared" si="128"/>
        <v>0-5</v>
      </c>
      <c r="K800" s="1">
        <v>2.5</v>
      </c>
      <c r="L800" s="1">
        <v>20</v>
      </c>
      <c r="M800" s="1">
        <f t="shared" si="130"/>
        <v>20</v>
      </c>
      <c r="N800" s="1">
        <f t="shared" si="135"/>
        <v>20</v>
      </c>
      <c r="O800" t="s">
        <v>1053</v>
      </c>
      <c r="P800" s="4">
        <f>[2]Sheet1!K800</f>
        <v>0.62</v>
      </c>
    </row>
    <row r="801" spans="1:16" x14ac:dyDescent="0.35">
      <c r="A801" t="s">
        <v>851</v>
      </c>
      <c r="B801" t="str">
        <f>TRIM([1]Sheet1!AD801)</f>
        <v>Dana Rice</v>
      </c>
      <c r="C801" t="str">
        <f>IF(UPPER(LEFT([1]Sheet1!W801,1))="F","FEMALE","MALE")</f>
        <v>FEMALE</v>
      </c>
      <c r="D801">
        <v>58</v>
      </c>
      <c r="E801" t="s">
        <v>74</v>
      </c>
      <c r="F801" t="s">
        <v>74</v>
      </c>
      <c r="G801" t="s">
        <v>75</v>
      </c>
      <c r="H801" t="s">
        <v>27</v>
      </c>
      <c r="I801" s="1">
        <v>15</v>
      </c>
      <c r="J801" s="1" t="str">
        <f t="shared" si="128"/>
        <v>11-16</v>
      </c>
      <c r="K801" s="1">
        <v>3.5</v>
      </c>
      <c r="L801" s="1">
        <v>20</v>
      </c>
      <c r="M801" s="1">
        <f t="shared" si="130"/>
        <v>20</v>
      </c>
      <c r="N801" s="1">
        <f t="shared" si="135"/>
        <v>20</v>
      </c>
      <c r="P801" s="4">
        <f>[2]Sheet1!K801</f>
        <v>0.98</v>
      </c>
    </row>
    <row r="802" spans="1:16" x14ac:dyDescent="0.35">
      <c r="A802" t="s">
        <v>852</v>
      </c>
      <c r="B802" t="str">
        <f>TRIM([1]Sheet1!AD802)</f>
        <v>Beth Young</v>
      </c>
      <c r="C802" t="str">
        <f>IF(UPPER(LEFT([1]Sheet1!W802,1))="F","FEMALE","MALE")</f>
        <v>FEMALE</v>
      </c>
      <c r="D802">
        <v>39</v>
      </c>
      <c r="E802" t="s">
        <v>105</v>
      </c>
      <c r="F802" t="s">
        <v>105</v>
      </c>
      <c r="G802" t="s">
        <v>38</v>
      </c>
      <c r="H802" t="s">
        <v>12</v>
      </c>
      <c r="I802" s="1">
        <v>15</v>
      </c>
      <c r="J802" s="1" t="str">
        <f t="shared" si="128"/>
        <v>11-16</v>
      </c>
      <c r="L802" s="1">
        <v>50</v>
      </c>
      <c r="M802" s="1">
        <f t="shared" si="130"/>
        <v>50</v>
      </c>
      <c r="N802" s="1">
        <f t="shared" si="135"/>
        <v>50</v>
      </c>
      <c r="O802" t="s">
        <v>1053</v>
      </c>
      <c r="P802" s="4">
        <f>[2]Sheet1!K802</f>
        <v>0.8</v>
      </c>
    </row>
    <row r="803" spans="1:16" x14ac:dyDescent="0.35">
      <c r="A803" t="s">
        <v>853</v>
      </c>
      <c r="B803" t="str">
        <f>TRIM([1]Sheet1!AD803)</f>
        <v>Ryan Powell</v>
      </c>
      <c r="C803" t="str">
        <f>IF(UPPER(LEFT([1]Sheet1!W803,1))="F","FEMALE","MALE")</f>
        <v>MALE</v>
      </c>
      <c r="D803">
        <v>43</v>
      </c>
      <c r="E803" t="s">
        <v>32</v>
      </c>
      <c r="F803" t="s">
        <v>32</v>
      </c>
      <c r="G803" t="s">
        <v>33</v>
      </c>
      <c r="H803" t="s">
        <v>16</v>
      </c>
      <c r="I803" s="1">
        <v>13</v>
      </c>
      <c r="J803" s="1" t="str">
        <f t="shared" si="128"/>
        <v>11-16</v>
      </c>
      <c r="K803" s="1">
        <v>1.2</v>
      </c>
      <c r="L803" s="1" t="s">
        <v>1067</v>
      </c>
      <c r="M803" s="1" t="str">
        <f t="shared" si="130"/>
        <v>USD 20</v>
      </c>
      <c r="N803" s="1">
        <v>20</v>
      </c>
      <c r="O803" t="s">
        <v>1054</v>
      </c>
      <c r="P803" s="3">
        <f>[2]Sheet1!K803/100</f>
        <v>0.69</v>
      </c>
    </row>
    <row r="804" spans="1:16" x14ac:dyDescent="0.35">
      <c r="A804" t="s">
        <v>854</v>
      </c>
      <c r="B804" t="str">
        <f>TRIM([1]Sheet1!AD804)</f>
        <v>Amanda Fowler</v>
      </c>
      <c r="C804" t="str">
        <f>IF(UPPER(LEFT([1]Sheet1!W804,1))="F","FEMALE","MALE")</f>
        <v>FEMALE</v>
      </c>
      <c r="D804">
        <v>40</v>
      </c>
      <c r="E804" t="s">
        <v>105</v>
      </c>
      <c r="F804" t="s">
        <v>105</v>
      </c>
      <c r="G804" t="s">
        <v>38</v>
      </c>
      <c r="H804" t="s">
        <v>8</v>
      </c>
      <c r="I804" s="1">
        <v>20</v>
      </c>
      <c r="J804" s="1" t="str">
        <f t="shared" si="128"/>
        <v xml:space="preserve"> 16-20</v>
      </c>
      <c r="L804" s="1" t="s">
        <v>1066</v>
      </c>
      <c r="M804" s="1" t="str">
        <f t="shared" si="130"/>
        <v>USD 30</v>
      </c>
      <c r="N804" s="1">
        <v>30</v>
      </c>
      <c r="O804" t="s">
        <v>1053</v>
      </c>
      <c r="P804" s="3">
        <f>[2]Sheet1!K804/100</f>
        <v>0.9</v>
      </c>
    </row>
    <row r="805" spans="1:16" x14ac:dyDescent="0.35">
      <c r="A805" t="s">
        <v>855</v>
      </c>
      <c r="B805" t="str">
        <f>TRIM([1]Sheet1!AD805)</f>
        <v>Lindsay Rivera</v>
      </c>
      <c r="C805" t="str">
        <f>IF(UPPER(LEFT([1]Sheet1!W805,1))="F","FEMALE","MALE")</f>
        <v>FEMALE</v>
      </c>
      <c r="D805">
        <v>51</v>
      </c>
      <c r="E805" t="s">
        <v>35</v>
      </c>
      <c r="F805" t="s">
        <v>35</v>
      </c>
      <c r="G805" t="s">
        <v>11</v>
      </c>
      <c r="H805" t="s">
        <v>62</v>
      </c>
      <c r="I805" s="1">
        <v>30</v>
      </c>
      <c r="J805" s="1" t="str">
        <f t="shared" si="128"/>
        <v>26-30</v>
      </c>
      <c r="L805" s="1">
        <v>75</v>
      </c>
      <c r="M805" s="1">
        <f t="shared" si="130"/>
        <v>75</v>
      </c>
      <c r="N805" s="1">
        <f t="shared" ref="N805:N806" si="136">M805</f>
        <v>75</v>
      </c>
      <c r="O805" t="s">
        <v>1054</v>
      </c>
      <c r="P805" s="4">
        <f>[2]Sheet1!K805</f>
        <v>0.74</v>
      </c>
    </row>
    <row r="806" spans="1:16" x14ac:dyDescent="0.35">
      <c r="A806" t="s">
        <v>856</v>
      </c>
      <c r="B806" t="str">
        <f>TRIM([1]Sheet1!AD806)</f>
        <v>Mark Ward</v>
      </c>
      <c r="C806" t="str">
        <f>IF(UPPER(LEFT([1]Sheet1!W806,1))="F","FEMALE","MALE")</f>
        <v>MALE</v>
      </c>
      <c r="D806">
        <v>23</v>
      </c>
      <c r="E806" t="s">
        <v>14</v>
      </c>
      <c r="F806" t="s">
        <v>14</v>
      </c>
      <c r="G806" t="s">
        <v>15</v>
      </c>
      <c r="H806" t="s">
        <v>23</v>
      </c>
      <c r="I806" s="1">
        <v>4</v>
      </c>
      <c r="J806" s="1" t="str">
        <f t="shared" si="128"/>
        <v>0-5</v>
      </c>
      <c r="K806" s="1">
        <v>4.5</v>
      </c>
      <c r="L806" s="1">
        <v>50</v>
      </c>
      <c r="M806" s="1">
        <f t="shared" si="130"/>
        <v>50</v>
      </c>
      <c r="N806" s="1">
        <f t="shared" si="136"/>
        <v>50</v>
      </c>
      <c r="O806" t="s">
        <v>1053</v>
      </c>
      <c r="P806" s="4">
        <f>[2]Sheet1!K806</f>
        <v>0.98</v>
      </c>
    </row>
    <row r="807" spans="1:16" x14ac:dyDescent="0.35">
      <c r="A807" t="s">
        <v>857</v>
      </c>
      <c r="B807" t="str">
        <f>TRIM([1]Sheet1!AD807)</f>
        <v>Amanda Smith</v>
      </c>
      <c r="C807" t="str">
        <f>IF(UPPER(LEFT([1]Sheet1!W807,1))="F","FEMALE","MALE")</f>
        <v>FEMALE</v>
      </c>
      <c r="D807">
        <v>31</v>
      </c>
      <c r="E807" t="s">
        <v>25</v>
      </c>
      <c r="F807" t="s">
        <v>25</v>
      </c>
      <c r="G807" t="s">
        <v>26</v>
      </c>
      <c r="H807" t="s">
        <v>16</v>
      </c>
      <c r="J807" s="1" t="str">
        <f t="shared" si="128"/>
        <v>0-5</v>
      </c>
      <c r="L807" s="1" t="s">
        <v>1067</v>
      </c>
      <c r="M807" s="1" t="str">
        <f t="shared" si="130"/>
        <v>USD 20</v>
      </c>
      <c r="N807" s="1">
        <v>20</v>
      </c>
      <c r="O807" t="s">
        <v>1054</v>
      </c>
      <c r="P807" s="4">
        <f>[2]Sheet1!K807</f>
        <v>0.84</v>
      </c>
    </row>
    <row r="808" spans="1:16" x14ac:dyDescent="0.35">
      <c r="A808" t="s">
        <v>858</v>
      </c>
      <c r="B808" t="str">
        <f>TRIM([1]Sheet1!AD808)</f>
        <v>Emily Brown</v>
      </c>
      <c r="C808" t="str">
        <f>IF(UPPER(LEFT([1]Sheet1!W808,1))="F","FEMALE","MALE")</f>
        <v>FEMALE</v>
      </c>
      <c r="D808">
        <v>44</v>
      </c>
      <c r="E808" t="s">
        <v>67</v>
      </c>
      <c r="F808" t="s">
        <v>67</v>
      </c>
      <c r="G808" t="s">
        <v>68</v>
      </c>
      <c r="H808" t="s">
        <v>18</v>
      </c>
      <c r="I808" s="1">
        <v>3</v>
      </c>
      <c r="J808" s="1" t="str">
        <f t="shared" si="128"/>
        <v>0-5</v>
      </c>
      <c r="K808" s="1">
        <v>5</v>
      </c>
      <c r="L808" s="2">
        <v>20</v>
      </c>
      <c r="M808" s="1">
        <f t="shared" si="130"/>
        <v>20</v>
      </c>
      <c r="N808" s="1">
        <f t="shared" ref="N808:N817" si="137">M808</f>
        <v>20</v>
      </c>
      <c r="O808" t="s">
        <v>1054</v>
      </c>
      <c r="P808" s="4">
        <f>[2]Sheet1!K808</f>
        <v>0.75</v>
      </c>
    </row>
    <row r="809" spans="1:16" x14ac:dyDescent="0.35">
      <c r="A809" t="s">
        <v>859</v>
      </c>
      <c r="B809" t="str">
        <f>TRIM([1]Sheet1!AD809)</f>
        <v>Dwayne Cardenas</v>
      </c>
      <c r="C809" t="str">
        <f>IF(UPPER(LEFT([1]Sheet1!W809,1))="F","FEMALE","MALE")</f>
        <v>MALE</v>
      </c>
      <c r="D809">
        <v>56</v>
      </c>
      <c r="E809" t="s">
        <v>14</v>
      </c>
      <c r="F809" t="s">
        <v>14</v>
      </c>
      <c r="G809" t="s">
        <v>15</v>
      </c>
      <c r="H809" t="s">
        <v>12</v>
      </c>
      <c r="I809" s="1">
        <v>23</v>
      </c>
      <c r="J809" s="1" t="str">
        <f t="shared" si="128"/>
        <v>21- 25</v>
      </c>
      <c r="K809" s="1">
        <v>3.9</v>
      </c>
      <c r="L809" s="1">
        <v>75</v>
      </c>
      <c r="M809" s="1">
        <f t="shared" si="130"/>
        <v>75</v>
      </c>
      <c r="N809" s="1">
        <f t="shared" si="137"/>
        <v>75</v>
      </c>
      <c r="O809" t="s">
        <v>1054</v>
      </c>
    </row>
    <row r="810" spans="1:16" x14ac:dyDescent="0.35">
      <c r="A810" t="s">
        <v>860</v>
      </c>
      <c r="B810" t="str">
        <f>TRIM([1]Sheet1!AD810)</f>
        <v>Rhonda Hernandez</v>
      </c>
      <c r="C810" t="str">
        <f>IF(UPPER(LEFT([1]Sheet1!W810,1))="F","FEMALE","MALE")</f>
        <v>FEMALE</v>
      </c>
      <c r="D810">
        <v>48</v>
      </c>
      <c r="E810" t="s">
        <v>10</v>
      </c>
      <c r="F810" t="s">
        <v>10</v>
      </c>
      <c r="G810" t="s">
        <v>11</v>
      </c>
      <c r="H810" t="s">
        <v>41</v>
      </c>
      <c r="I810" s="1">
        <v>5</v>
      </c>
      <c r="J810" s="1" t="str">
        <f t="shared" si="128"/>
        <v>0-5</v>
      </c>
      <c r="K810" s="1">
        <v>1.8</v>
      </c>
      <c r="L810" s="2">
        <v>100</v>
      </c>
      <c r="M810" s="1">
        <f t="shared" si="130"/>
        <v>100</v>
      </c>
      <c r="N810" s="1">
        <f t="shared" si="137"/>
        <v>100</v>
      </c>
      <c r="O810" t="s">
        <v>1054</v>
      </c>
      <c r="P810" s="4">
        <f>[2]Sheet1!K810</f>
        <v>0.97</v>
      </c>
    </row>
    <row r="811" spans="1:16" x14ac:dyDescent="0.35">
      <c r="A811" t="s">
        <v>861</v>
      </c>
      <c r="B811" t="str">
        <f>TRIM([1]Sheet1!AD811)</f>
        <v>Melody Barker</v>
      </c>
      <c r="C811" t="str">
        <f>IF(UPPER(LEFT([1]Sheet1!W811,1))="F","FEMALE","MALE")</f>
        <v>FEMALE</v>
      </c>
      <c r="D811">
        <v>46</v>
      </c>
      <c r="E811" t="s">
        <v>67</v>
      </c>
      <c r="F811" t="s">
        <v>67</v>
      </c>
      <c r="G811" t="s">
        <v>68</v>
      </c>
      <c r="H811" t="s">
        <v>18</v>
      </c>
      <c r="I811" s="1">
        <v>28</v>
      </c>
      <c r="J811" s="1" t="str">
        <f t="shared" si="128"/>
        <v>26-30</v>
      </c>
      <c r="K811" s="1">
        <v>4.2</v>
      </c>
      <c r="L811" s="1">
        <v>30</v>
      </c>
      <c r="M811" s="1">
        <f t="shared" si="130"/>
        <v>30</v>
      </c>
      <c r="N811" s="1">
        <f t="shared" si="137"/>
        <v>30</v>
      </c>
      <c r="O811" t="s">
        <v>1054</v>
      </c>
    </row>
    <row r="812" spans="1:16" x14ac:dyDescent="0.35">
      <c r="A812" t="s">
        <v>862</v>
      </c>
      <c r="B812" t="str">
        <f>TRIM([1]Sheet1!AD812)</f>
        <v>Russell Carpenter</v>
      </c>
      <c r="C812" t="str">
        <f>IF(UPPER(LEFT([1]Sheet1!W812,1))="F","FEMALE","MALE")</f>
        <v>MALE</v>
      </c>
      <c r="D812">
        <v>21</v>
      </c>
      <c r="E812" t="s">
        <v>77</v>
      </c>
      <c r="F812" t="s">
        <v>77</v>
      </c>
      <c r="G812" t="s">
        <v>78</v>
      </c>
      <c r="H812" t="s">
        <v>23</v>
      </c>
      <c r="I812" s="1">
        <v>0</v>
      </c>
      <c r="J812" s="1" t="str">
        <f t="shared" si="128"/>
        <v>0-5</v>
      </c>
      <c r="K812" s="1">
        <v>2.6</v>
      </c>
      <c r="L812" s="1">
        <v>20</v>
      </c>
      <c r="M812" s="1">
        <f t="shared" si="130"/>
        <v>20</v>
      </c>
      <c r="N812" s="1">
        <f t="shared" si="137"/>
        <v>20</v>
      </c>
      <c r="O812" t="s">
        <v>1053</v>
      </c>
      <c r="P812" s="4">
        <f>[2]Sheet1!K812</f>
        <v>0.64</v>
      </c>
    </row>
    <row r="813" spans="1:16" x14ac:dyDescent="0.35">
      <c r="A813" t="s">
        <v>863</v>
      </c>
      <c r="B813" t="str">
        <f>TRIM([1]Sheet1!AD813)</f>
        <v>Richard Hill</v>
      </c>
      <c r="C813" t="str">
        <f>IF(UPPER(LEFT([1]Sheet1!W813,1))="F","FEMALE","MALE")</f>
        <v>MALE</v>
      </c>
      <c r="D813">
        <v>52</v>
      </c>
      <c r="E813" t="s">
        <v>67</v>
      </c>
      <c r="F813" t="s">
        <v>67</v>
      </c>
      <c r="G813" t="s">
        <v>68</v>
      </c>
      <c r="H813" t="s">
        <v>27</v>
      </c>
      <c r="I813" s="1">
        <v>30</v>
      </c>
      <c r="J813" s="1" t="str">
        <f t="shared" si="128"/>
        <v>26-30</v>
      </c>
      <c r="K813" s="1">
        <v>2</v>
      </c>
      <c r="L813" s="1">
        <v>30</v>
      </c>
      <c r="M813" s="1">
        <f t="shared" si="130"/>
        <v>30</v>
      </c>
      <c r="N813" s="1">
        <f t="shared" si="137"/>
        <v>30</v>
      </c>
      <c r="O813" t="s">
        <v>1054</v>
      </c>
      <c r="P813" s="4">
        <f>[2]Sheet1!K813</f>
        <v>0.68</v>
      </c>
    </row>
    <row r="814" spans="1:16" x14ac:dyDescent="0.35">
      <c r="A814" t="s">
        <v>864</v>
      </c>
      <c r="B814" t="str">
        <f>TRIM([1]Sheet1!AD814)</f>
        <v>Lindsay Potts</v>
      </c>
      <c r="C814" t="str">
        <f>IF(UPPER(LEFT([1]Sheet1!W814,1))="F","FEMALE","MALE")</f>
        <v>FEMALE</v>
      </c>
      <c r="D814">
        <v>39</v>
      </c>
      <c r="E814" t="s">
        <v>67</v>
      </c>
      <c r="F814" t="s">
        <v>67</v>
      </c>
      <c r="G814" t="s">
        <v>68</v>
      </c>
      <c r="H814" t="s">
        <v>16</v>
      </c>
      <c r="I814" s="1">
        <v>20</v>
      </c>
      <c r="J814" s="1" t="str">
        <f t="shared" si="128"/>
        <v xml:space="preserve"> 16-20</v>
      </c>
      <c r="K814" s="1">
        <v>2.7</v>
      </c>
      <c r="L814" s="2">
        <v>75</v>
      </c>
      <c r="M814" s="1">
        <f t="shared" si="130"/>
        <v>75</v>
      </c>
      <c r="N814" s="1">
        <f t="shared" si="137"/>
        <v>75</v>
      </c>
      <c r="O814" t="s">
        <v>1054</v>
      </c>
      <c r="P814" s="4">
        <f>[2]Sheet1!K814</f>
        <v>0.67</v>
      </c>
    </row>
    <row r="815" spans="1:16" x14ac:dyDescent="0.35">
      <c r="A815" t="s">
        <v>865</v>
      </c>
      <c r="B815" t="str">
        <f>TRIM([1]Sheet1!AD815)</f>
        <v>Michelle Campbell</v>
      </c>
      <c r="C815" t="str">
        <f>IF(UPPER(LEFT([1]Sheet1!W815,1))="F","FEMALE","MALE")</f>
        <v>FEMALE</v>
      </c>
      <c r="D815">
        <v>31</v>
      </c>
      <c r="E815" t="s">
        <v>10</v>
      </c>
      <c r="F815" t="s">
        <v>10</v>
      </c>
      <c r="G815" t="s">
        <v>11</v>
      </c>
      <c r="H815" t="s">
        <v>12</v>
      </c>
      <c r="I815" s="1">
        <v>0</v>
      </c>
      <c r="J815" s="1" t="str">
        <f t="shared" si="128"/>
        <v>0-5</v>
      </c>
      <c r="K815" s="1">
        <v>2.2999999999999998</v>
      </c>
      <c r="L815" s="1">
        <v>30</v>
      </c>
      <c r="M815" s="1">
        <f t="shared" si="130"/>
        <v>30</v>
      </c>
      <c r="N815" s="1">
        <f t="shared" si="137"/>
        <v>30</v>
      </c>
      <c r="O815" t="s">
        <v>1053</v>
      </c>
      <c r="P815" s="4">
        <f>[2]Sheet1!K815</f>
        <v>0.79</v>
      </c>
    </row>
    <row r="816" spans="1:16" x14ac:dyDescent="0.35">
      <c r="A816" t="s">
        <v>866</v>
      </c>
      <c r="B816" t="str">
        <f>TRIM([1]Sheet1!AD816)</f>
        <v>Alan Williams</v>
      </c>
      <c r="C816" t="str">
        <f>IF(UPPER(LEFT([1]Sheet1!W816,1))="F","FEMALE","MALE")</f>
        <v>MALE</v>
      </c>
      <c r="D816">
        <v>22</v>
      </c>
      <c r="E816" t="s">
        <v>60</v>
      </c>
      <c r="F816" t="s">
        <v>60</v>
      </c>
      <c r="G816" t="s">
        <v>61</v>
      </c>
      <c r="H816" t="s">
        <v>39</v>
      </c>
      <c r="I816" s="1">
        <v>4</v>
      </c>
      <c r="J816" s="1" t="str">
        <f t="shared" si="128"/>
        <v>0-5</v>
      </c>
      <c r="K816" s="1">
        <v>3.8</v>
      </c>
      <c r="L816" s="2">
        <v>40</v>
      </c>
      <c r="M816" s="1">
        <f t="shared" si="130"/>
        <v>40</v>
      </c>
      <c r="N816" s="1">
        <f t="shared" si="137"/>
        <v>40</v>
      </c>
      <c r="O816" t="s">
        <v>1054</v>
      </c>
      <c r="P816" s="4">
        <f>[2]Sheet1!K816</f>
        <v>1</v>
      </c>
    </row>
    <row r="817" spans="1:16" x14ac:dyDescent="0.35">
      <c r="A817" t="s">
        <v>867</v>
      </c>
      <c r="B817" t="str">
        <f>TRIM([1]Sheet1!AD817)</f>
        <v>Robin Hinton</v>
      </c>
      <c r="C817" t="str">
        <f>IF(UPPER(LEFT([1]Sheet1!W817,1))="F","FEMALE","MALE")</f>
        <v>FEMALE</v>
      </c>
      <c r="D817">
        <v>38</v>
      </c>
      <c r="E817" t="s">
        <v>35</v>
      </c>
      <c r="F817" t="s">
        <v>35</v>
      </c>
      <c r="G817" t="s">
        <v>11</v>
      </c>
      <c r="H817" t="s">
        <v>39</v>
      </c>
      <c r="I817" s="1">
        <v>10</v>
      </c>
      <c r="J817" s="1" t="str">
        <f t="shared" si="128"/>
        <v>5-10</v>
      </c>
      <c r="L817" s="1">
        <v>40</v>
      </c>
      <c r="M817" s="1">
        <f t="shared" si="130"/>
        <v>40</v>
      </c>
      <c r="N817" s="1">
        <f t="shared" si="137"/>
        <v>40</v>
      </c>
      <c r="O817" t="s">
        <v>1053</v>
      </c>
      <c r="P817" s="4">
        <f>[2]Sheet1!K817</f>
        <v>0.66</v>
      </c>
    </row>
    <row r="818" spans="1:16" x14ac:dyDescent="0.35">
      <c r="A818" t="s">
        <v>868</v>
      </c>
      <c r="B818" t="str">
        <f>TRIM([1]Sheet1!AD818)</f>
        <v>Brian Holland</v>
      </c>
      <c r="C818" t="str">
        <f>IF(UPPER(LEFT([1]Sheet1!W818,1))="F","FEMALE","MALE")</f>
        <v>MALE</v>
      </c>
      <c r="D818">
        <v>44</v>
      </c>
      <c r="E818" t="s">
        <v>37</v>
      </c>
      <c r="F818" t="s">
        <v>37</v>
      </c>
      <c r="G818" t="s">
        <v>38</v>
      </c>
      <c r="H818" t="s">
        <v>16</v>
      </c>
      <c r="I818" s="1">
        <v>24</v>
      </c>
      <c r="J818" s="1" t="str">
        <f t="shared" si="128"/>
        <v>21- 25</v>
      </c>
      <c r="K818" s="1">
        <v>4.5999999999999996</v>
      </c>
      <c r="L818" s="1" t="s">
        <v>1063</v>
      </c>
      <c r="M818" s="1" t="str">
        <f t="shared" si="130"/>
        <v>USD 75</v>
      </c>
      <c r="N818" s="1">
        <v>75</v>
      </c>
      <c r="O818" t="s">
        <v>1053</v>
      </c>
      <c r="P818" s="4">
        <f>[2]Sheet1!K818</f>
        <v>0.97</v>
      </c>
    </row>
    <row r="819" spans="1:16" x14ac:dyDescent="0.35">
      <c r="A819" t="s">
        <v>869</v>
      </c>
      <c r="B819" t="str">
        <f>TRIM([1]Sheet1!AD819)</f>
        <v>Adam Stone</v>
      </c>
      <c r="C819" t="str">
        <f>IF(UPPER(LEFT([1]Sheet1!W819,1))="F","FEMALE","MALE")</f>
        <v>MALE</v>
      </c>
      <c r="D819">
        <v>53</v>
      </c>
      <c r="E819" t="s">
        <v>25</v>
      </c>
      <c r="F819" t="s">
        <v>25</v>
      </c>
      <c r="G819" t="s">
        <v>26</v>
      </c>
      <c r="H819" t="s">
        <v>62</v>
      </c>
      <c r="I819" s="1">
        <v>21</v>
      </c>
      <c r="J819" s="1" t="str">
        <f t="shared" si="128"/>
        <v>21- 25</v>
      </c>
      <c r="K819" s="1">
        <v>3.4</v>
      </c>
      <c r="L819" s="1">
        <v>100</v>
      </c>
      <c r="M819" s="1">
        <f t="shared" si="130"/>
        <v>100</v>
      </c>
      <c r="N819" s="1">
        <f>M819</f>
        <v>100</v>
      </c>
      <c r="O819" t="s">
        <v>1053</v>
      </c>
      <c r="P819" s="4">
        <f>[2]Sheet1!K819</f>
        <v>0.62</v>
      </c>
    </row>
    <row r="820" spans="1:16" x14ac:dyDescent="0.35">
      <c r="A820" t="s">
        <v>870</v>
      </c>
      <c r="B820" t="str">
        <f>TRIM([1]Sheet1!AD820)</f>
        <v>Curtis Lambert</v>
      </c>
      <c r="C820" t="str">
        <f>IF(UPPER(LEFT([1]Sheet1!W820,1))="F","FEMALE","MALE")</f>
        <v>MALE</v>
      </c>
      <c r="D820">
        <v>22</v>
      </c>
      <c r="E820" t="s">
        <v>96</v>
      </c>
      <c r="F820" t="s">
        <v>96</v>
      </c>
      <c r="G820" t="s">
        <v>97</v>
      </c>
      <c r="H820" t="s">
        <v>27</v>
      </c>
      <c r="I820" s="1">
        <v>2</v>
      </c>
      <c r="J820" s="1" t="str">
        <f t="shared" si="128"/>
        <v>0-5</v>
      </c>
      <c r="L820" s="1" t="s">
        <v>1067</v>
      </c>
      <c r="M820" s="1" t="str">
        <f t="shared" si="130"/>
        <v>USD 20</v>
      </c>
      <c r="N820" s="1">
        <v>20</v>
      </c>
      <c r="O820" t="s">
        <v>1053</v>
      </c>
    </row>
    <row r="821" spans="1:16" x14ac:dyDescent="0.35">
      <c r="A821" t="s">
        <v>871</v>
      </c>
      <c r="B821" t="str">
        <f>TRIM([1]Sheet1!AD821)</f>
        <v>Alexandra Sims</v>
      </c>
      <c r="C821" t="str">
        <f>IF(UPPER(LEFT([1]Sheet1!W821,1))="F","FEMALE","MALE")</f>
        <v>FEMALE</v>
      </c>
      <c r="D821">
        <v>40</v>
      </c>
      <c r="E821" t="s">
        <v>50</v>
      </c>
      <c r="F821" t="s">
        <v>50</v>
      </c>
      <c r="G821" t="s">
        <v>51</v>
      </c>
      <c r="H821" t="s">
        <v>8</v>
      </c>
      <c r="I821" s="1">
        <v>14</v>
      </c>
      <c r="J821" s="1" t="str">
        <f t="shared" si="128"/>
        <v>11-16</v>
      </c>
      <c r="K821" s="1">
        <v>0</v>
      </c>
      <c r="L821" s="1">
        <v>75</v>
      </c>
      <c r="M821" s="1">
        <f t="shared" si="130"/>
        <v>75</v>
      </c>
      <c r="N821" s="1">
        <f t="shared" ref="N821:N825" si="138">M821</f>
        <v>75</v>
      </c>
      <c r="O821" t="s">
        <v>1054</v>
      </c>
      <c r="P821" s="4">
        <f>[2]Sheet1!K821</f>
        <v>0.79</v>
      </c>
    </row>
    <row r="822" spans="1:16" x14ac:dyDescent="0.35">
      <c r="A822" t="s">
        <v>872</v>
      </c>
      <c r="B822" t="str">
        <f>TRIM([1]Sheet1!AD822)</f>
        <v>Brenda Spencer</v>
      </c>
      <c r="C822" t="str">
        <f>IF(UPPER(LEFT([1]Sheet1!W822,1))="F","FEMALE","MALE")</f>
        <v>FEMALE</v>
      </c>
      <c r="D822">
        <v>49</v>
      </c>
      <c r="E822" t="s">
        <v>96</v>
      </c>
      <c r="F822" t="s">
        <v>96</v>
      </c>
      <c r="G822" t="s">
        <v>97</v>
      </c>
      <c r="H822" t="s">
        <v>12</v>
      </c>
      <c r="I822" s="1">
        <v>15</v>
      </c>
      <c r="J822" s="1" t="str">
        <f t="shared" si="128"/>
        <v>11-16</v>
      </c>
      <c r="K822" s="1">
        <v>3.9</v>
      </c>
      <c r="L822" s="1">
        <v>40</v>
      </c>
      <c r="M822" s="1">
        <f t="shared" si="130"/>
        <v>40</v>
      </c>
      <c r="N822" s="1">
        <f t="shared" si="138"/>
        <v>40</v>
      </c>
      <c r="O822" t="s">
        <v>1053</v>
      </c>
      <c r="P822" s="4">
        <f>[2]Sheet1!K822</f>
        <v>0.86</v>
      </c>
    </row>
    <row r="823" spans="1:16" x14ac:dyDescent="0.35">
      <c r="A823" t="s">
        <v>873</v>
      </c>
      <c r="B823" t="str">
        <f>TRIM([1]Sheet1!AD823)</f>
        <v>Joshua Bush</v>
      </c>
      <c r="C823" t="str">
        <f>IF(UPPER(LEFT([1]Sheet1!W823,1))="F","FEMALE","MALE")</f>
        <v>MALE</v>
      </c>
      <c r="D823">
        <v>30</v>
      </c>
      <c r="E823" t="s">
        <v>10</v>
      </c>
      <c r="F823" t="s">
        <v>10</v>
      </c>
      <c r="G823" t="s">
        <v>11</v>
      </c>
      <c r="H823" t="s">
        <v>39</v>
      </c>
      <c r="I823" s="1">
        <v>11</v>
      </c>
      <c r="J823" s="1" t="str">
        <f t="shared" si="128"/>
        <v>11-16</v>
      </c>
      <c r="K823" s="1">
        <v>4.2</v>
      </c>
      <c r="L823" s="2">
        <v>30</v>
      </c>
      <c r="M823" s="1">
        <f t="shared" si="130"/>
        <v>30</v>
      </c>
      <c r="N823" s="1">
        <f t="shared" si="138"/>
        <v>30</v>
      </c>
      <c r="O823" t="s">
        <v>1053</v>
      </c>
      <c r="P823" s="4">
        <f>[2]Sheet1!K823</f>
        <v>0.65</v>
      </c>
    </row>
    <row r="824" spans="1:16" x14ac:dyDescent="0.35">
      <c r="A824" t="s">
        <v>874</v>
      </c>
      <c r="B824" t="str">
        <f>TRIM([1]Sheet1!AD824)</f>
        <v>Erin Martin</v>
      </c>
      <c r="C824" t="str">
        <f>IF(UPPER(LEFT([1]Sheet1!W824,1))="F","FEMALE","MALE")</f>
        <v>FEMALE</v>
      </c>
      <c r="D824">
        <v>37</v>
      </c>
      <c r="E824" t="s">
        <v>45</v>
      </c>
      <c r="F824" t="s">
        <v>45</v>
      </c>
      <c r="G824" t="s">
        <v>46</v>
      </c>
      <c r="H824" t="s">
        <v>23</v>
      </c>
      <c r="I824" s="1">
        <v>6</v>
      </c>
      <c r="J824" s="1" t="str">
        <f t="shared" si="128"/>
        <v>5-10</v>
      </c>
      <c r="L824" s="1">
        <v>20</v>
      </c>
      <c r="M824" s="1">
        <f t="shared" si="130"/>
        <v>20</v>
      </c>
      <c r="N824" s="1">
        <f t="shared" si="138"/>
        <v>20</v>
      </c>
      <c r="P824" s="4">
        <f>[2]Sheet1!K824</f>
        <v>0.99</v>
      </c>
    </row>
    <row r="825" spans="1:16" x14ac:dyDescent="0.35">
      <c r="A825" t="s">
        <v>875</v>
      </c>
      <c r="B825" t="str">
        <f>TRIM([1]Sheet1!AD825)</f>
        <v>Alexander Hogan</v>
      </c>
      <c r="C825" t="str">
        <f>IF(UPPER(LEFT([1]Sheet1!W825,1))="F","FEMALE","MALE")</f>
        <v>MALE</v>
      </c>
      <c r="D825">
        <v>21</v>
      </c>
      <c r="E825" t="s">
        <v>77</v>
      </c>
      <c r="F825" t="s">
        <v>77</v>
      </c>
      <c r="G825" t="s">
        <v>78</v>
      </c>
      <c r="H825" t="s">
        <v>16</v>
      </c>
      <c r="I825" s="1">
        <v>2</v>
      </c>
      <c r="J825" s="1" t="str">
        <f t="shared" si="128"/>
        <v>0-5</v>
      </c>
      <c r="K825" s="1">
        <v>3.6</v>
      </c>
      <c r="L825" s="1">
        <v>100</v>
      </c>
      <c r="M825" s="1">
        <f t="shared" si="130"/>
        <v>100</v>
      </c>
      <c r="N825" s="1">
        <f t="shared" si="138"/>
        <v>100</v>
      </c>
      <c r="O825" t="s">
        <v>1053</v>
      </c>
      <c r="P825" s="3">
        <f>[2]Sheet1!K825/100</f>
        <v>0.85</v>
      </c>
    </row>
    <row r="826" spans="1:16" x14ac:dyDescent="0.35">
      <c r="A826" t="s">
        <v>876</v>
      </c>
      <c r="B826" t="str">
        <f>TRIM([1]Sheet1!AD826)</f>
        <v>William Harris</v>
      </c>
      <c r="C826" t="str">
        <f>IF(UPPER(LEFT([1]Sheet1!W826,1))="F","FEMALE","MALE")</f>
        <v>MALE</v>
      </c>
      <c r="D826">
        <v>20</v>
      </c>
      <c r="E826" t="s">
        <v>60</v>
      </c>
      <c r="F826" t="s">
        <v>60</v>
      </c>
      <c r="G826" t="s">
        <v>61</v>
      </c>
      <c r="H826" t="s">
        <v>23</v>
      </c>
      <c r="I826" s="1">
        <v>1</v>
      </c>
      <c r="J826" s="1" t="str">
        <f t="shared" si="128"/>
        <v>0-5</v>
      </c>
      <c r="L826" s="1" t="s">
        <v>1065</v>
      </c>
      <c r="M826" s="1" t="str">
        <f t="shared" si="130"/>
        <v>USD 50</v>
      </c>
      <c r="N826" s="1">
        <v>50</v>
      </c>
      <c r="O826" t="s">
        <v>1054</v>
      </c>
      <c r="P826" s="4">
        <f>[2]Sheet1!K826</f>
        <v>0.81</v>
      </c>
    </row>
    <row r="827" spans="1:16" x14ac:dyDescent="0.35">
      <c r="A827" t="s">
        <v>877</v>
      </c>
      <c r="B827" t="str">
        <f>TRIM([1]Sheet1!AD827)</f>
        <v>Michael Mcmahon</v>
      </c>
      <c r="C827" t="str">
        <f>IF(UPPER(LEFT([1]Sheet1!W827,1))="F","FEMALE","MALE")</f>
        <v>MALE</v>
      </c>
      <c r="D827">
        <v>20</v>
      </c>
      <c r="E827" t="s">
        <v>96</v>
      </c>
      <c r="F827" t="s">
        <v>96</v>
      </c>
      <c r="G827" t="s">
        <v>97</v>
      </c>
      <c r="H827" t="s">
        <v>27</v>
      </c>
      <c r="I827" s="1">
        <v>2</v>
      </c>
      <c r="J827" s="1" t="str">
        <f t="shared" si="128"/>
        <v>0-5</v>
      </c>
      <c r="K827" s="1">
        <v>2.1</v>
      </c>
      <c r="L827" s="2">
        <v>40</v>
      </c>
      <c r="M827" s="1">
        <f t="shared" si="130"/>
        <v>40</v>
      </c>
      <c r="N827" s="1">
        <f t="shared" ref="N827:N836" si="139">M827</f>
        <v>40</v>
      </c>
      <c r="O827" t="s">
        <v>1053</v>
      </c>
      <c r="P827" s="4">
        <f>[2]Sheet1!K827</f>
        <v>0.64</v>
      </c>
    </row>
    <row r="828" spans="1:16" x14ac:dyDescent="0.35">
      <c r="A828" t="s">
        <v>878</v>
      </c>
      <c r="B828" t="str">
        <f>TRIM([1]Sheet1!AD828)</f>
        <v>Michael Watson</v>
      </c>
      <c r="C828" t="str">
        <f>IF(UPPER(LEFT([1]Sheet1!W828,1))="F","FEMALE","MALE")</f>
        <v>MALE</v>
      </c>
      <c r="D828">
        <v>20</v>
      </c>
      <c r="E828" t="s">
        <v>37</v>
      </c>
      <c r="F828" t="s">
        <v>37</v>
      </c>
      <c r="G828" t="s">
        <v>38</v>
      </c>
      <c r="H828" t="s">
        <v>62</v>
      </c>
      <c r="I828" s="1">
        <v>2</v>
      </c>
      <c r="J828" s="1" t="str">
        <f t="shared" si="128"/>
        <v>0-5</v>
      </c>
      <c r="K828" s="1">
        <v>3.9</v>
      </c>
      <c r="L828" s="1">
        <v>20</v>
      </c>
      <c r="M828" s="1">
        <f t="shared" si="130"/>
        <v>20</v>
      </c>
      <c r="N828" s="1">
        <f t="shared" si="139"/>
        <v>20</v>
      </c>
      <c r="O828" t="s">
        <v>1053</v>
      </c>
      <c r="P828" s="4">
        <f>[2]Sheet1!K828</f>
        <v>0.84</v>
      </c>
    </row>
    <row r="829" spans="1:16" x14ac:dyDescent="0.35">
      <c r="A829" t="s">
        <v>879</v>
      </c>
      <c r="B829" t="str">
        <f>TRIM([1]Sheet1!AD829)</f>
        <v>Lori Perez</v>
      </c>
      <c r="C829" t="str">
        <f>IF(UPPER(LEFT([1]Sheet1!W829,1))="F","FEMALE","MALE")</f>
        <v>FEMALE</v>
      </c>
      <c r="D829">
        <v>26</v>
      </c>
      <c r="E829" t="s">
        <v>67</v>
      </c>
      <c r="F829" t="s">
        <v>67</v>
      </c>
      <c r="G829" t="s">
        <v>68</v>
      </c>
      <c r="H829" t="s">
        <v>62</v>
      </c>
      <c r="I829" s="1">
        <v>2</v>
      </c>
      <c r="J829" s="1" t="str">
        <f t="shared" si="128"/>
        <v>0-5</v>
      </c>
      <c r="K829" s="1">
        <v>0</v>
      </c>
      <c r="L829" s="1">
        <v>40</v>
      </c>
      <c r="M829" s="1">
        <f t="shared" si="130"/>
        <v>40</v>
      </c>
      <c r="N829" s="1">
        <f t="shared" si="139"/>
        <v>40</v>
      </c>
      <c r="P829" s="4">
        <f>[2]Sheet1!K829</f>
        <v>0.66</v>
      </c>
    </row>
    <row r="830" spans="1:16" x14ac:dyDescent="0.35">
      <c r="A830" t="s">
        <v>880</v>
      </c>
      <c r="B830" t="str">
        <f>TRIM([1]Sheet1!AD830)</f>
        <v>Lindsay Le</v>
      </c>
      <c r="C830" t="str">
        <f>IF(UPPER(LEFT([1]Sheet1!W830,1))="F","FEMALE","MALE")</f>
        <v>FEMALE</v>
      </c>
      <c r="D830">
        <v>50</v>
      </c>
      <c r="E830" t="s">
        <v>60</v>
      </c>
      <c r="F830" t="s">
        <v>60</v>
      </c>
      <c r="G830" t="s">
        <v>61</v>
      </c>
      <c r="H830" t="s">
        <v>18</v>
      </c>
      <c r="I830" s="1">
        <v>12</v>
      </c>
      <c r="J830" s="1" t="str">
        <f t="shared" si="128"/>
        <v>11-16</v>
      </c>
      <c r="K830" s="1">
        <v>0</v>
      </c>
      <c r="L830" s="2">
        <v>75</v>
      </c>
      <c r="M830" s="1">
        <f t="shared" si="130"/>
        <v>75</v>
      </c>
      <c r="N830" s="1">
        <f t="shared" si="139"/>
        <v>75</v>
      </c>
      <c r="O830" t="s">
        <v>1053</v>
      </c>
      <c r="P830" s="3">
        <f>[2]Sheet1!K830/100</f>
        <v>0.75</v>
      </c>
    </row>
    <row r="831" spans="1:16" x14ac:dyDescent="0.35">
      <c r="A831" t="s">
        <v>881</v>
      </c>
      <c r="B831" t="str">
        <f>TRIM([1]Sheet1!AD831)</f>
        <v>Scott Long</v>
      </c>
      <c r="C831" t="str">
        <f>IF(UPPER(LEFT([1]Sheet1!W831,1))="F","FEMALE","MALE")</f>
        <v>MALE</v>
      </c>
      <c r="D831">
        <v>50</v>
      </c>
      <c r="E831" t="s">
        <v>105</v>
      </c>
      <c r="F831" t="s">
        <v>105</v>
      </c>
      <c r="G831" t="s">
        <v>38</v>
      </c>
      <c r="H831" t="s">
        <v>23</v>
      </c>
      <c r="I831" s="1">
        <v>28</v>
      </c>
      <c r="J831" s="1" t="str">
        <f t="shared" si="128"/>
        <v>26-30</v>
      </c>
      <c r="K831" s="1">
        <v>1.8</v>
      </c>
      <c r="L831" s="1">
        <v>30</v>
      </c>
      <c r="M831" s="1">
        <f t="shared" si="130"/>
        <v>30</v>
      </c>
      <c r="N831" s="1">
        <f t="shared" si="139"/>
        <v>30</v>
      </c>
    </row>
    <row r="832" spans="1:16" x14ac:dyDescent="0.35">
      <c r="A832" t="s">
        <v>882</v>
      </c>
      <c r="B832" t="str">
        <f>TRIM([1]Sheet1!AD832)</f>
        <v>Diana Ferguson</v>
      </c>
      <c r="C832" t="str">
        <f>IF(UPPER(LEFT([1]Sheet1!W832,1))="F","FEMALE","MALE")</f>
        <v>FEMALE</v>
      </c>
      <c r="D832">
        <v>54</v>
      </c>
      <c r="E832" t="s">
        <v>25</v>
      </c>
      <c r="F832" t="s">
        <v>25</v>
      </c>
      <c r="G832" t="s">
        <v>26</v>
      </c>
      <c r="H832" t="s">
        <v>23</v>
      </c>
      <c r="I832" s="1">
        <v>4</v>
      </c>
      <c r="J832" s="1" t="str">
        <f t="shared" si="128"/>
        <v>0-5</v>
      </c>
      <c r="K832" s="1">
        <v>1.1000000000000001</v>
      </c>
      <c r="L832" s="1">
        <v>20</v>
      </c>
      <c r="M832" s="1">
        <f t="shared" si="130"/>
        <v>20</v>
      </c>
      <c r="N832" s="1">
        <f t="shared" si="139"/>
        <v>20</v>
      </c>
      <c r="O832" t="s">
        <v>1054</v>
      </c>
      <c r="P832" s="4">
        <f>[2]Sheet1!K832</f>
        <v>0.63</v>
      </c>
    </row>
    <row r="833" spans="1:16" x14ac:dyDescent="0.35">
      <c r="A833" t="s">
        <v>883</v>
      </c>
      <c r="B833" t="str">
        <f>TRIM([1]Sheet1!AD833)</f>
        <v>Joseph Miller</v>
      </c>
      <c r="C833" t="str">
        <f>IF(UPPER(LEFT([1]Sheet1!W833,1))="F","FEMALE","MALE")</f>
        <v>MALE</v>
      </c>
      <c r="D833">
        <v>54</v>
      </c>
      <c r="E833" t="s">
        <v>105</v>
      </c>
      <c r="F833" t="s">
        <v>105</v>
      </c>
      <c r="G833" t="s">
        <v>38</v>
      </c>
      <c r="H833" t="s">
        <v>8</v>
      </c>
      <c r="I833" s="1">
        <v>3</v>
      </c>
      <c r="J833" s="1" t="str">
        <f t="shared" si="128"/>
        <v>0-5</v>
      </c>
      <c r="K833" s="1">
        <v>1.6</v>
      </c>
      <c r="L833" s="1">
        <v>20</v>
      </c>
      <c r="M833" s="1">
        <f t="shared" si="130"/>
        <v>20</v>
      </c>
      <c r="N833" s="1">
        <f t="shared" si="139"/>
        <v>20</v>
      </c>
      <c r="O833" t="s">
        <v>1054</v>
      </c>
      <c r="P833" s="4">
        <f>[2]Sheet1!K833</f>
        <v>0.7</v>
      </c>
    </row>
    <row r="834" spans="1:16" x14ac:dyDescent="0.35">
      <c r="A834" t="s">
        <v>884</v>
      </c>
      <c r="B834" t="str">
        <f>TRIM([1]Sheet1!AD834)</f>
        <v>Julia Reid</v>
      </c>
      <c r="C834" t="str">
        <f>IF(UPPER(LEFT([1]Sheet1!W834,1))="F","FEMALE","MALE")</f>
        <v>FEMALE</v>
      </c>
      <c r="D834">
        <v>34</v>
      </c>
      <c r="E834" t="s">
        <v>77</v>
      </c>
      <c r="F834" t="s">
        <v>77</v>
      </c>
      <c r="G834" t="s">
        <v>78</v>
      </c>
      <c r="H834" t="s">
        <v>62</v>
      </c>
      <c r="I834" s="1">
        <v>4</v>
      </c>
      <c r="J834" s="1" t="str">
        <f t="shared" ref="J834:J897" si="140">_xlfn.IFS(I834&lt;=5,"0-5",I834&lt;=10,"5-10",I834&lt;=16,"11-16",I834&lt;=20," 16-20",I834&lt;=25,"21- 25",I834&lt;=30,"26-30",I834&gt;30,"31+")</f>
        <v>0-5</v>
      </c>
      <c r="K834" s="1">
        <v>3.1</v>
      </c>
      <c r="L834" s="2">
        <v>30</v>
      </c>
      <c r="M834" s="1">
        <f t="shared" si="130"/>
        <v>30</v>
      </c>
      <c r="N834" s="1">
        <f t="shared" si="139"/>
        <v>30</v>
      </c>
      <c r="P834" s="4">
        <f>[2]Sheet1!K834</f>
        <v>0.9</v>
      </c>
    </row>
    <row r="835" spans="1:16" x14ac:dyDescent="0.35">
      <c r="A835" t="s">
        <v>885</v>
      </c>
      <c r="B835" t="str">
        <f>TRIM([1]Sheet1!AD835)</f>
        <v>Samantha Matthews</v>
      </c>
      <c r="C835" t="str">
        <f>IF(UPPER(LEFT([1]Sheet1!W835,1))="F","FEMALE","MALE")</f>
        <v>FEMALE</v>
      </c>
      <c r="D835">
        <v>20</v>
      </c>
      <c r="E835" t="s">
        <v>6</v>
      </c>
      <c r="F835" t="s">
        <v>6</v>
      </c>
      <c r="G835" t="s">
        <v>7</v>
      </c>
      <c r="H835" t="s">
        <v>48</v>
      </c>
      <c r="I835" s="1">
        <v>1</v>
      </c>
      <c r="J835" s="1" t="str">
        <f t="shared" si="140"/>
        <v>0-5</v>
      </c>
      <c r="K835" s="1">
        <v>3.4</v>
      </c>
      <c r="L835" s="1">
        <v>50</v>
      </c>
      <c r="M835" s="1">
        <f t="shared" ref="M835:M898" si="141">L835</f>
        <v>50</v>
      </c>
      <c r="N835" s="1">
        <f t="shared" si="139"/>
        <v>50</v>
      </c>
      <c r="O835" t="s">
        <v>1054</v>
      </c>
      <c r="P835" s="3">
        <f>[2]Sheet1!K835/100</f>
        <v>0.79</v>
      </c>
    </row>
    <row r="836" spans="1:16" x14ac:dyDescent="0.35">
      <c r="A836" t="s">
        <v>886</v>
      </c>
      <c r="B836" t="str">
        <f>TRIM([1]Sheet1!AD836)</f>
        <v>Brian Bailey</v>
      </c>
      <c r="C836" t="str">
        <f>IF(UPPER(LEFT([1]Sheet1!W836,1))="F","FEMALE","MALE")</f>
        <v>MALE</v>
      </c>
      <c r="D836">
        <v>29</v>
      </c>
      <c r="E836" t="s">
        <v>14</v>
      </c>
      <c r="F836" t="s">
        <v>14</v>
      </c>
      <c r="G836" t="s">
        <v>15</v>
      </c>
      <c r="H836" t="s">
        <v>23</v>
      </c>
      <c r="I836" s="1">
        <v>8</v>
      </c>
      <c r="J836" s="1" t="str">
        <f t="shared" si="140"/>
        <v>5-10</v>
      </c>
      <c r="K836" s="1">
        <v>3.1</v>
      </c>
      <c r="L836" s="1">
        <v>40</v>
      </c>
      <c r="M836" s="1">
        <f t="shared" si="141"/>
        <v>40</v>
      </c>
      <c r="N836" s="1">
        <f t="shared" si="139"/>
        <v>40</v>
      </c>
      <c r="O836" t="s">
        <v>1053</v>
      </c>
      <c r="P836" s="4">
        <f>[2]Sheet1!K836</f>
        <v>0.6</v>
      </c>
    </row>
    <row r="837" spans="1:16" x14ac:dyDescent="0.35">
      <c r="A837" t="s">
        <v>887</v>
      </c>
      <c r="B837" t="str">
        <f>TRIM([1]Sheet1!AD837)</f>
        <v>Toni Hinton</v>
      </c>
      <c r="C837" t="str">
        <f>IF(UPPER(LEFT([1]Sheet1!W837,1))="F","FEMALE","MALE")</f>
        <v>FEMALE</v>
      </c>
      <c r="D837">
        <v>57</v>
      </c>
      <c r="E837" t="s">
        <v>35</v>
      </c>
      <c r="F837" t="s">
        <v>35</v>
      </c>
      <c r="G837" t="s">
        <v>11</v>
      </c>
      <c r="H837" t="s">
        <v>48</v>
      </c>
      <c r="I837" s="1">
        <v>11</v>
      </c>
      <c r="J837" s="1" t="str">
        <f t="shared" si="140"/>
        <v>11-16</v>
      </c>
      <c r="K837" s="1">
        <v>2.2999999999999998</v>
      </c>
      <c r="L837" s="1" t="s">
        <v>1063</v>
      </c>
      <c r="M837" s="1" t="str">
        <f t="shared" si="141"/>
        <v>USD 75</v>
      </c>
      <c r="N837" s="1">
        <v>75</v>
      </c>
      <c r="O837" t="s">
        <v>1053</v>
      </c>
    </row>
    <row r="838" spans="1:16" x14ac:dyDescent="0.35">
      <c r="A838" t="s">
        <v>888</v>
      </c>
      <c r="B838" t="str">
        <f>TRIM([1]Sheet1!AD838)</f>
        <v>Robin Ortiz</v>
      </c>
      <c r="C838" t="str">
        <f>IF(UPPER(LEFT([1]Sheet1!W838,1))="F","FEMALE","MALE")</f>
        <v>FEMALE</v>
      </c>
      <c r="D838">
        <v>36</v>
      </c>
      <c r="E838" t="s">
        <v>21</v>
      </c>
      <c r="F838" t="s">
        <v>21</v>
      </c>
      <c r="G838" t="s">
        <v>22</v>
      </c>
      <c r="H838" t="s">
        <v>23</v>
      </c>
      <c r="I838" s="1">
        <v>8</v>
      </c>
      <c r="J838" s="1" t="str">
        <f t="shared" si="140"/>
        <v>5-10</v>
      </c>
      <c r="L838" s="1" t="s">
        <v>1064</v>
      </c>
      <c r="M838" s="1" t="str">
        <f t="shared" si="141"/>
        <v>USD 40</v>
      </c>
      <c r="N838" s="1">
        <v>40</v>
      </c>
      <c r="O838" t="s">
        <v>1053</v>
      </c>
      <c r="P838" s="4">
        <f>[2]Sheet1!K838</f>
        <v>0.8</v>
      </c>
    </row>
    <row r="839" spans="1:16" x14ac:dyDescent="0.35">
      <c r="A839" t="s">
        <v>889</v>
      </c>
      <c r="B839" t="str">
        <f>TRIM([1]Sheet1!AD839)</f>
        <v>Adam Griffith</v>
      </c>
      <c r="C839" t="str">
        <f>IF(UPPER(LEFT([1]Sheet1!W839,1))="F","FEMALE","MALE")</f>
        <v>MALE</v>
      </c>
      <c r="D839">
        <v>51</v>
      </c>
      <c r="E839" t="s">
        <v>60</v>
      </c>
      <c r="F839" t="s">
        <v>60</v>
      </c>
      <c r="G839" t="s">
        <v>61</v>
      </c>
      <c r="H839" t="s">
        <v>18</v>
      </c>
      <c r="I839" s="1">
        <v>32</v>
      </c>
      <c r="J839" s="1" t="str">
        <f t="shared" si="140"/>
        <v>31+</v>
      </c>
      <c r="K839" s="1">
        <v>3.2</v>
      </c>
      <c r="L839" s="2">
        <v>50</v>
      </c>
      <c r="M839" s="1">
        <f t="shared" si="141"/>
        <v>50</v>
      </c>
      <c r="N839" s="1">
        <f>M839</f>
        <v>50</v>
      </c>
      <c r="O839" t="s">
        <v>1053</v>
      </c>
      <c r="P839" s="3">
        <f>[2]Sheet1!K839/100</f>
        <v>0.88</v>
      </c>
    </row>
    <row r="840" spans="1:16" x14ac:dyDescent="0.35">
      <c r="A840" t="s">
        <v>890</v>
      </c>
      <c r="B840" t="str">
        <f>TRIM([1]Sheet1!AD840)</f>
        <v>Daniel Roberson</v>
      </c>
      <c r="C840" t="str">
        <f>IF(UPPER(LEFT([1]Sheet1!W840,1))="F","FEMALE","MALE")</f>
        <v>MALE</v>
      </c>
      <c r="D840">
        <v>44</v>
      </c>
      <c r="E840" t="s">
        <v>50</v>
      </c>
      <c r="F840" t="s">
        <v>50</v>
      </c>
      <c r="G840" t="s">
        <v>51</v>
      </c>
      <c r="H840" t="s">
        <v>39</v>
      </c>
      <c r="I840" s="1">
        <v>4</v>
      </c>
      <c r="J840" s="1" t="str">
        <f t="shared" si="140"/>
        <v>0-5</v>
      </c>
      <c r="K840" s="1">
        <v>0</v>
      </c>
      <c r="L840" s="1" t="s">
        <v>1066</v>
      </c>
      <c r="M840" s="1" t="str">
        <f t="shared" si="141"/>
        <v>USD 30</v>
      </c>
      <c r="N840" s="1">
        <v>30</v>
      </c>
      <c r="O840" t="s">
        <v>1053</v>
      </c>
      <c r="P840" s="4">
        <f>[2]Sheet1!K840</f>
        <v>0.8</v>
      </c>
    </row>
    <row r="841" spans="1:16" x14ac:dyDescent="0.35">
      <c r="A841" t="s">
        <v>891</v>
      </c>
      <c r="B841" t="str">
        <f>TRIM([1]Sheet1!AD841)</f>
        <v>Dale Haynes</v>
      </c>
      <c r="C841" t="str">
        <f>IF(UPPER(LEFT([1]Sheet1!W841,1))="F","FEMALE","MALE")</f>
        <v>MALE</v>
      </c>
      <c r="D841">
        <v>58</v>
      </c>
      <c r="E841" t="s">
        <v>105</v>
      </c>
      <c r="F841" t="s">
        <v>105</v>
      </c>
      <c r="G841" t="s">
        <v>38</v>
      </c>
      <c r="H841" t="s">
        <v>41</v>
      </c>
      <c r="I841" s="1">
        <v>33</v>
      </c>
      <c r="J841" s="1" t="str">
        <f t="shared" si="140"/>
        <v>31+</v>
      </c>
      <c r="K841" s="1">
        <v>3.3</v>
      </c>
      <c r="L841" s="1">
        <v>30</v>
      </c>
      <c r="M841" s="1">
        <f t="shared" si="141"/>
        <v>30</v>
      </c>
      <c r="N841" s="1">
        <f t="shared" ref="N841:N842" si="142">M841</f>
        <v>30</v>
      </c>
      <c r="O841" t="s">
        <v>1054</v>
      </c>
      <c r="P841" s="4">
        <f>[2]Sheet1!K841</f>
        <v>0.71</v>
      </c>
    </row>
    <row r="842" spans="1:16" x14ac:dyDescent="0.35">
      <c r="A842" t="s">
        <v>892</v>
      </c>
      <c r="B842" t="str">
        <f>TRIM([1]Sheet1!AD842)</f>
        <v>Emily Scott</v>
      </c>
      <c r="C842" t="str">
        <f>IF(UPPER(LEFT([1]Sheet1!W842,1))="F","FEMALE","MALE")</f>
        <v>FEMALE</v>
      </c>
      <c r="D842">
        <v>38</v>
      </c>
      <c r="E842" t="s">
        <v>85</v>
      </c>
      <c r="F842" t="s">
        <v>85</v>
      </c>
      <c r="G842" t="s">
        <v>86</v>
      </c>
      <c r="H842" t="s">
        <v>12</v>
      </c>
      <c r="I842" s="1">
        <v>14</v>
      </c>
      <c r="J842" s="1" t="str">
        <f t="shared" si="140"/>
        <v>11-16</v>
      </c>
      <c r="K842" s="1">
        <v>1.1000000000000001</v>
      </c>
      <c r="M842" s="1">
        <f t="shared" si="141"/>
        <v>0</v>
      </c>
      <c r="N842" s="1">
        <f t="shared" si="142"/>
        <v>0</v>
      </c>
      <c r="O842" t="s">
        <v>1054</v>
      </c>
      <c r="P842" s="4">
        <f>[2]Sheet1!K842</f>
        <v>0.76</v>
      </c>
    </row>
    <row r="843" spans="1:16" x14ac:dyDescent="0.35">
      <c r="A843" t="s">
        <v>893</v>
      </c>
      <c r="B843" t="str">
        <f>TRIM([1]Sheet1!AD843)</f>
        <v>David Brown</v>
      </c>
      <c r="C843" t="str">
        <f>IF(UPPER(LEFT([1]Sheet1!W843,1))="F","FEMALE","MALE")</f>
        <v>MALE</v>
      </c>
      <c r="D843">
        <v>24</v>
      </c>
      <c r="E843" t="s">
        <v>30</v>
      </c>
      <c r="F843" t="s">
        <v>30</v>
      </c>
      <c r="G843" t="s">
        <v>11</v>
      </c>
      <c r="H843" t="s">
        <v>39</v>
      </c>
      <c r="I843" s="1">
        <v>6</v>
      </c>
      <c r="J843" s="1" t="str">
        <f t="shared" si="140"/>
        <v>5-10</v>
      </c>
      <c r="K843" s="1">
        <v>4.5999999999999996</v>
      </c>
      <c r="L843" s="1" t="s">
        <v>1066</v>
      </c>
      <c r="M843" s="1" t="str">
        <f t="shared" si="141"/>
        <v>USD 30</v>
      </c>
      <c r="N843" s="1">
        <v>30</v>
      </c>
      <c r="O843" t="s">
        <v>1054</v>
      </c>
      <c r="P843" s="4">
        <f>[2]Sheet1!K843</f>
        <v>0.93</v>
      </c>
    </row>
    <row r="844" spans="1:16" x14ac:dyDescent="0.35">
      <c r="A844" t="s">
        <v>894</v>
      </c>
      <c r="B844" t="str">
        <f>TRIM([1]Sheet1!AD844)</f>
        <v>Stephanie Guzman</v>
      </c>
      <c r="C844" t="str">
        <f>IF(UPPER(LEFT([1]Sheet1!W844,1))="F","FEMALE","MALE")</f>
        <v>FEMALE</v>
      </c>
      <c r="D844">
        <v>30</v>
      </c>
      <c r="E844" t="s">
        <v>32</v>
      </c>
      <c r="F844" t="s">
        <v>32</v>
      </c>
      <c r="G844" t="s">
        <v>33</v>
      </c>
      <c r="H844" t="s">
        <v>8</v>
      </c>
      <c r="I844" s="1">
        <v>5</v>
      </c>
      <c r="J844" s="1" t="str">
        <f t="shared" si="140"/>
        <v>0-5</v>
      </c>
      <c r="L844" s="1" t="s">
        <v>1066</v>
      </c>
      <c r="M844" s="1" t="str">
        <f t="shared" si="141"/>
        <v>USD 30</v>
      </c>
      <c r="N844" s="1">
        <v>30</v>
      </c>
      <c r="O844" t="s">
        <v>1053</v>
      </c>
    </row>
    <row r="845" spans="1:16" x14ac:dyDescent="0.35">
      <c r="A845" t="s">
        <v>895</v>
      </c>
      <c r="B845" t="str">
        <f>TRIM([1]Sheet1!AD845)</f>
        <v>Maxwell Johnson</v>
      </c>
      <c r="C845" t="str">
        <f>IF(UPPER(LEFT([1]Sheet1!W845,1))="F","FEMALE","MALE")</f>
        <v>MALE</v>
      </c>
      <c r="D845">
        <v>25</v>
      </c>
      <c r="E845" t="s">
        <v>25</v>
      </c>
      <c r="F845" t="s">
        <v>25</v>
      </c>
      <c r="G845" t="s">
        <v>26</v>
      </c>
      <c r="H845" t="s">
        <v>41</v>
      </c>
      <c r="I845" s="1">
        <v>3</v>
      </c>
      <c r="J845" s="1" t="str">
        <f t="shared" si="140"/>
        <v>0-5</v>
      </c>
      <c r="L845" s="1">
        <v>75</v>
      </c>
      <c r="M845" s="1">
        <f t="shared" si="141"/>
        <v>75</v>
      </c>
      <c r="N845" s="1">
        <f t="shared" ref="N845:N846" si="143">M845</f>
        <v>75</v>
      </c>
      <c r="O845" t="s">
        <v>1053</v>
      </c>
      <c r="P845" s="4">
        <f>[2]Sheet1!K845</f>
        <v>0.83</v>
      </c>
    </row>
    <row r="846" spans="1:16" x14ac:dyDescent="0.35">
      <c r="A846" t="s">
        <v>896</v>
      </c>
      <c r="B846" t="str">
        <f>TRIM([1]Sheet1!AD846)</f>
        <v>Reginald Stephens</v>
      </c>
      <c r="C846" t="str">
        <f>IF(UPPER(LEFT([1]Sheet1!W846,1))="F","FEMALE","MALE")</f>
        <v>MALE</v>
      </c>
      <c r="D846">
        <v>54</v>
      </c>
      <c r="E846" t="s">
        <v>25</v>
      </c>
      <c r="F846" t="s">
        <v>25</v>
      </c>
      <c r="G846" t="s">
        <v>26</v>
      </c>
      <c r="H846" t="s">
        <v>12</v>
      </c>
      <c r="I846" s="1">
        <v>17</v>
      </c>
      <c r="J846" s="1" t="str">
        <f t="shared" si="140"/>
        <v xml:space="preserve"> 16-20</v>
      </c>
      <c r="K846" s="1">
        <v>0</v>
      </c>
      <c r="L846" s="2">
        <v>100</v>
      </c>
      <c r="M846" s="1">
        <f t="shared" si="141"/>
        <v>100</v>
      </c>
      <c r="N846" s="1">
        <f t="shared" si="143"/>
        <v>100</v>
      </c>
      <c r="O846" t="s">
        <v>1053</v>
      </c>
      <c r="P846" s="4">
        <f>[2]Sheet1!K846</f>
        <v>0.71</v>
      </c>
    </row>
    <row r="847" spans="1:16" x14ac:dyDescent="0.35">
      <c r="A847" t="s">
        <v>897</v>
      </c>
      <c r="B847" t="str">
        <f>TRIM([1]Sheet1!AD847)</f>
        <v>Justin Jones</v>
      </c>
      <c r="C847" t="str">
        <f>IF(UPPER(LEFT([1]Sheet1!W847,1))="F","FEMALE","MALE")</f>
        <v>MALE</v>
      </c>
      <c r="D847">
        <v>54</v>
      </c>
      <c r="E847" t="s">
        <v>6</v>
      </c>
      <c r="F847" t="s">
        <v>6</v>
      </c>
      <c r="G847" t="s">
        <v>7</v>
      </c>
      <c r="H847" t="s">
        <v>41</v>
      </c>
      <c r="I847" s="1">
        <v>9</v>
      </c>
      <c r="J847" s="1" t="str">
        <f t="shared" si="140"/>
        <v>5-10</v>
      </c>
      <c r="K847" s="1">
        <v>0</v>
      </c>
      <c r="L847" s="1" t="s">
        <v>1067</v>
      </c>
      <c r="M847" s="1" t="str">
        <f t="shared" si="141"/>
        <v>USD 20</v>
      </c>
      <c r="N847" s="1">
        <v>20</v>
      </c>
      <c r="O847" t="s">
        <v>1054</v>
      </c>
      <c r="P847" s="4">
        <f>[2]Sheet1!K847</f>
        <v>0.96</v>
      </c>
    </row>
    <row r="848" spans="1:16" x14ac:dyDescent="0.35">
      <c r="A848" t="s">
        <v>898</v>
      </c>
      <c r="B848" t="str">
        <f>TRIM([1]Sheet1!AD848)</f>
        <v>Kristine Garcia</v>
      </c>
      <c r="C848" t="str">
        <f>IF(UPPER(LEFT([1]Sheet1!W848,1))="F","FEMALE","MALE")</f>
        <v>FEMALE</v>
      </c>
      <c r="D848">
        <v>53</v>
      </c>
      <c r="E848" t="s">
        <v>74</v>
      </c>
      <c r="F848" t="s">
        <v>74</v>
      </c>
      <c r="G848" t="s">
        <v>75</v>
      </c>
      <c r="H848" t="s">
        <v>16</v>
      </c>
      <c r="I848" s="1">
        <v>16</v>
      </c>
      <c r="J848" s="1" t="str">
        <f t="shared" si="140"/>
        <v>11-16</v>
      </c>
      <c r="K848" s="1">
        <v>0</v>
      </c>
      <c r="L848" s="1">
        <v>40</v>
      </c>
      <c r="M848" s="1">
        <f t="shared" si="141"/>
        <v>40</v>
      </c>
      <c r="N848" s="1">
        <f t="shared" ref="N848:N849" si="144">M848</f>
        <v>40</v>
      </c>
      <c r="O848" t="s">
        <v>1053</v>
      </c>
    </row>
    <row r="849" spans="1:16" x14ac:dyDescent="0.35">
      <c r="A849" t="s">
        <v>899</v>
      </c>
      <c r="B849" t="str">
        <f>TRIM([1]Sheet1!AD849)</f>
        <v>John Nguyen</v>
      </c>
      <c r="C849" t="str">
        <f>IF(UPPER(LEFT([1]Sheet1!W849,1))="F","FEMALE","MALE")</f>
        <v>MALE</v>
      </c>
      <c r="D849">
        <v>22</v>
      </c>
      <c r="E849" t="s">
        <v>67</v>
      </c>
      <c r="F849" t="s">
        <v>67</v>
      </c>
      <c r="G849" t="s">
        <v>68</v>
      </c>
      <c r="H849" t="s">
        <v>23</v>
      </c>
      <c r="I849" s="1">
        <v>3</v>
      </c>
      <c r="J849" s="1" t="str">
        <f t="shared" si="140"/>
        <v>0-5</v>
      </c>
      <c r="K849" s="1">
        <v>3.4</v>
      </c>
      <c r="L849" s="1">
        <v>75</v>
      </c>
      <c r="M849" s="1">
        <f t="shared" si="141"/>
        <v>75</v>
      </c>
      <c r="N849" s="1">
        <f t="shared" si="144"/>
        <v>75</v>
      </c>
      <c r="O849" t="s">
        <v>1054</v>
      </c>
      <c r="P849" s="4">
        <f>[2]Sheet1!K849</f>
        <v>0.65</v>
      </c>
    </row>
    <row r="850" spans="1:16" x14ac:dyDescent="0.35">
      <c r="A850" t="s">
        <v>900</v>
      </c>
      <c r="B850" t="str">
        <f>TRIM([1]Sheet1!AD850)</f>
        <v>Anna Fleming</v>
      </c>
      <c r="C850" t="str">
        <f>IF(UPPER(LEFT([1]Sheet1!W850,1))="F","FEMALE","MALE")</f>
        <v>FEMALE</v>
      </c>
      <c r="D850">
        <v>23</v>
      </c>
      <c r="E850" t="s">
        <v>99</v>
      </c>
      <c r="F850" t="s">
        <v>99</v>
      </c>
      <c r="G850" t="s">
        <v>38</v>
      </c>
      <c r="H850" t="s">
        <v>27</v>
      </c>
      <c r="I850" s="1">
        <v>2</v>
      </c>
      <c r="J850" s="1" t="str">
        <f t="shared" si="140"/>
        <v>0-5</v>
      </c>
      <c r="K850" s="1">
        <v>1.3</v>
      </c>
      <c r="L850" s="1" t="s">
        <v>1067</v>
      </c>
      <c r="M850" s="1" t="str">
        <f t="shared" si="141"/>
        <v>USD 20</v>
      </c>
      <c r="N850" s="1">
        <v>20</v>
      </c>
      <c r="O850" t="s">
        <v>1053</v>
      </c>
    </row>
    <row r="851" spans="1:16" x14ac:dyDescent="0.35">
      <c r="A851" t="s">
        <v>901</v>
      </c>
      <c r="B851" t="str">
        <f>TRIM([1]Sheet1!AD851)</f>
        <v>Linda Williamson</v>
      </c>
      <c r="C851" t="str">
        <f>IF(UPPER(LEFT([1]Sheet1!W851,1))="F","FEMALE","MALE")</f>
        <v>FEMALE</v>
      </c>
      <c r="D851">
        <v>47</v>
      </c>
      <c r="E851" t="s">
        <v>74</v>
      </c>
      <c r="F851" t="s">
        <v>74</v>
      </c>
      <c r="G851" t="s">
        <v>75</v>
      </c>
      <c r="H851" t="s">
        <v>41</v>
      </c>
      <c r="I851" s="1">
        <v>16</v>
      </c>
      <c r="J851" s="1" t="str">
        <f t="shared" si="140"/>
        <v>11-16</v>
      </c>
      <c r="K851" s="1">
        <v>1.9</v>
      </c>
      <c r="L851" s="1">
        <v>50</v>
      </c>
      <c r="M851" s="1">
        <f t="shared" si="141"/>
        <v>50</v>
      </c>
      <c r="N851" s="1">
        <f t="shared" ref="N851:N855" si="145">M851</f>
        <v>50</v>
      </c>
      <c r="O851" t="s">
        <v>1053</v>
      </c>
      <c r="P851" s="4">
        <f>[2]Sheet1!K851</f>
        <v>0.71</v>
      </c>
    </row>
    <row r="852" spans="1:16" x14ac:dyDescent="0.35">
      <c r="A852" t="s">
        <v>902</v>
      </c>
      <c r="B852" t="str">
        <f>TRIM([1]Sheet1!AD852)</f>
        <v>Roy Wilson</v>
      </c>
      <c r="C852" t="str">
        <f>IF(UPPER(LEFT([1]Sheet1!W852,1))="F","FEMALE","MALE")</f>
        <v>MALE</v>
      </c>
      <c r="D852">
        <v>24</v>
      </c>
      <c r="E852" t="s">
        <v>74</v>
      </c>
      <c r="F852" t="s">
        <v>74</v>
      </c>
      <c r="G852" t="s">
        <v>75</v>
      </c>
      <c r="H852" t="s">
        <v>18</v>
      </c>
      <c r="I852" s="1">
        <v>6</v>
      </c>
      <c r="J852" s="1" t="str">
        <f t="shared" si="140"/>
        <v>5-10</v>
      </c>
      <c r="K852" s="1">
        <v>1.4</v>
      </c>
      <c r="L852" s="1">
        <v>50</v>
      </c>
      <c r="M852" s="1">
        <f t="shared" si="141"/>
        <v>50</v>
      </c>
      <c r="N852" s="1">
        <f t="shared" si="145"/>
        <v>50</v>
      </c>
      <c r="O852" t="s">
        <v>1054</v>
      </c>
      <c r="P852" s="3">
        <f>[2]Sheet1!K852/100</f>
        <v>0.63</v>
      </c>
    </row>
    <row r="853" spans="1:16" x14ac:dyDescent="0.35">
      <c r="A853" t="s">
        <v>903</v>
      </c>
      <c r="B853" t="str">
        <f>TRIM([1]Sheet1!AD853)</f>
        <v>Jennifer Pierce</v>
      </c>
      <c r="C853" t="str">
        <f>IF(UPPER(LEFT([1]Sheet1!W853,1))="F","FEMALE","MALE")</f>
        <v>FEMALE</v>
      </c>
      <c r="D853">
        <v>57</v>
      </c>
      <c r="E853" t="s">
        <v>50</v>
      </c>
      <c r="F853" t="s">
        <v>50</v>
      </c>
      <c r="G853" t="s">
        <v>51</v>
      </c>
      <c r="H853" t="s">
        <v>39</v>
      </c>
      <c r="I853" s="1">
        <v>10</v>
      </c>
      <c r="J853" s="1" t="str">
        <f t="shared" si="140"/>
        <v>5-10</v>
      </c>
      <c r="K853" s="1">
        <v>4.3</v>
      </c>
      <c r="L853" s="2">
        <v>100</v>
      </c>
      <c r="M853" s="1">
        <f t="shared" si="141"/>
        <v>100</v>
      </c>
      <c r="N853" s="1">
        <f t="shared" si="145"/>
        <v>100</v>
      </c>
      <c r="O853" t="s">
        <v>1053</v>
      </c>
    </row>
    <row r="854" spans="1:16" x14ac:dyDescent="0.35">
      <c r="A854" t="s">
        <v>904</v>
      </c>
      <c r="B854" t="str">
        <f>TRIM([1]Sheet1!AD854)</f>
        <v>Jason Johnson</v>
      </c>
      <c r="C854" t="str">
        <f>IF(UPPER(LEFT([1]Sheet1!W854,1))="F","FEMALE","MALE")</f>
        <v>MALE</v>
      </c>
      <c r="D854">
        <v>48</v>
      </c>
      <c r="E854" t="s">
        <v>105</v>
      </c>
      <c r="F854" t="s">
        <v>105</v>
      </c>
      <c r="G854" t="s">
        <v>38</v>
      </c>
      <c r="H854" t="s">
        <v>16</v>
      </c>
      <c r="I854" s="1">
        <v>16</v>
      </c>
      <c r="J854" s="1" t="str">
        <f t="shared" si="140"/>
        <v>11-16</v>
      </c>
      <c r="L854" s="2">
        <v>30</v>
      </c>
      <c r="M854" s="1">
        <f t="shared" si="141"/>
        <v>30</v>
      </c>
      <c r="N854" s="1">
        <f t="shared" si="145"/>
        <v>30</v>
      </c>
      <c r="O854" t="s">
        <v>1053</v>
      </c>
      <c r="P854" s="4">
        <f>[2]Sheet1!K854</f>
        <v>0.97</v>
      </c>
    </row>
    <row r="855" spans="1:16" x14ac:dyDescent="0.35">
      <c r="A855" t="s">
        <v>905</v>
      </c>
      <c r="B855" t="str">
        <f>TRIM([1]Sheet1!AD855)</f>
        <v>Jasmine Lane</v>
      </c>
      <c r="C855" t="str">
        <f>IF(UPPER(LEFT([1]Sheet1!W855,1))="F","FEMALE","MALE")</f>
        <v>FEMALE</v>
      </c>
      <c r="D855">
        <v>21</v>
      </c>
      <c r="E855" t="s">
        <v>32</v>
      </c>
      <c r="F855" t="s">
        <v>32</v>
      </c>
      <c r="G855" t="s">
        <v>33</v>
      </c>
      <c r="H855" t="s">
        <v>39</v>
      </c>
      <c r="I855" s="1">
        <v>0</v>
      </c>
      <c r="J855" s="1" t="str">
        <f t="shared" si="140"/>
        <v>0-5</v>
      </c>
      <c r="K855" s="1">
        <v>4.3</v>
      </c>
      <c r="L855" s="2">
        <v>100</v>
      </c>
      <c r="M855" s="1">
        <f t="shared" si="141"/>
        <v>100</v>
      </c>
      <c r="N855" s="1">
        <f t="shared" si="145"/>
        <v>100</v>
      </c>
      <c r="O855" t="s">
        <v>1053</v>
      </c>
    </row>
    <row r="856" spans="1:16" x14ac:dyDescent="0.35">
      <c r="A856" t="s">
        <v>906</v>
      </c>
      <c r="B856" t="str">
        <f>TRIM([1]Sheet1!AD856)</f>
        <v>Evan Soto</v>
      </c>
      <c r="C856" t="str">
        <f>IF(UPPER(LEFT([1]Sheet1!W856,1))="F","FEMALE","MALE")</f>
        <v>MALE</v>
      </c>
      <c r="D856">
        <v>33</v>
      </c>
      <c r="E856" t="s">
        <v>45</v>
      </c>
      <c r="F856" t="s">
        <v>45</v>
      </c>
      <c r="G856" t="s">
        <v>46</v>
      </c>
      <c r="H856" t="s">
        <v>23</v>
      </c>
      <c r="I856" s="1">
        <v>13</v>
      </c>
      <c r="J856" s="1" t="str">
        <f t="shared" si="140"/>
        <v>11-16</v>
      </c>
      <c r="K856" s="1">
        <v>0</v>
      </c>
      <c r="L856" s="1" t="s">
        <v>1063</v>
      </c>
      <c r="M856" s="1" t="str">
        <f t="shared" si="141"/>
        <v>USD 75</v>
      </c>
      <c r="N856" s="1">
        <v>75</v>
      </c>
      <c r="O856" t="s">
        <v>1054</v>
      </c>
    </row>
    <row r="857" spans="1:16" x14ac:dyDescent="0.35">
      <c r="A857" t="s">
        <v>907</v>
      </c>
      <c r="B857" t="str">
        <f>TRIM([1]Sheet1!AD857)</f>
        <v>Kevin Serrano</v>
      </c>
      <c r="C857" t="str">
        <f>IF(UPPER(LEFT([1]Sheet1!W857,1))="F","FEMALE","MALE")</f>
        <v>MALE</v>
      </c>
      <c r="D857">
        <v>41</v>
      </c>
      <c r="E857" t="s">
        <v>32</v>
      </c>
      <c r="F857" t="s">
        <v>32</v>
      </c>
      <c r="G857" t="s">
        <v>33</v>
      </c>
      <c r="H857" t="s">
        <v>48</v>
      </c>
      <c r="I857" s="1">
        <v>12</v>
      </c>
      <c r="J857" s="1" t="str">
        <f t="shared" si="140"/>
        <v>11-16</v>
      </c>
      <c r="K857" s="1">
        <v>1.3</v>
      </c>
      <c r="M857" s="1">
        <f t="shared" si="141"/>
        <v>0</v>
      </c>
      <c r="N857" s="1">
        <f>M857</f>
        <v>0</v>
      </c>
      <c r="O857" t="s">
        <v>1053</v>
      </c>
      <c r="P857" s="4">
        <f>[2]Sheet1!K857</f>
        <v>0.85</v>
      </c>
    </row>
    <row r="858" spans="1:16" x14ac:dyDescent="0.35">
      <c r="A858" t="s">
        <v>908</v>
      </c>
      <c r="B858" t="str">
        <f>TRIM([1]Sheet1!AD858)</f>
        <v>Nathaniel Benson</v>
      </c>
      <c r="C858" t="str">
        <f>IF(UPPER(LEFT([1]Sheet1!W858,1))="F","FEMALE","MALE")</f>
        <v>MALE</v>
      </c>
      <c r="D858">
        <v>40</v>
      </c>
      <c r="E858" t="s">
        <v>10</v>
      </c>
      <c r="F858" t="s">
        <v>10</v>
      </c>
      <c r="G858" t="s">
        <v>11</v>
      </c>
      <c r="H858" t="s">
        <v>41</v>
      </c>
      <c r="I858" s="1">
        <v>13</v>
      </c>
      <c r="J858" s="1" t="str">
        <f t="shared" si="140"/>
        <v>11-16</v>
      </c>
      <c r="K858" s="1">
        <v>2.9</v>
      </c>
      <c r="L858" s="1" t="s">
        <v>1065</v>
      </c>
      <c r="M858" s="1" t="str">
        <f t="shared" si="141"/>
        <v>USD 50</v>
      </c>
      <c r="N858" s="1">
        <v>50</v>
      </c>
      <c r="O858" t="s">
        <v>1053</v>
      </c>
      <c r="P858" s="4">
        <f>[2]Sheet1!K858</f>
        <v>0.82</v>
      </c>
    </row>
    <row r="859" spans="1:16" x14ac:dyDescent="0.35">
      <c r="A859" t="s">
        <v>909</v>
      </c>
      <c r="B859" t="str">
        <f>TRIM([1]Sheet1!AD859)</f>
        <v>Deanna Miles</v>
      </c>
      <c r="C859" t="str">
        <f>IF(UPPER(LEFT([1]Sheet1!W859,1))="F","FEMALE","MALE")</f>
        <v>FEMALE</v>
      </c>
      <c r="D859">
        <v>40</v>
      </c>
      <c r="E859" t="s">
        <v>99</v>
      </c>
      <c r="F859" t="s">
        <v>99</v>
      </c>
      <c r="G859" t="s">
        <v>38</v>
      </c>
      <c r="H859" t="s">
        <v>16</v>
      </c>
      <c r="I859" s="1">
        <v>22</v>
      </c>
      <c r="J859" s="1" t="str">
        <f t="shared" si="140"/>
        <v>21- 25</v>
      </c>
      <c r="K859" s="1">
        <v>4.3</v>
      </c>
      <c r="L859" s="1" t="s">
        <v>1064</v>
      </c>
      <c r="M859" s="1" t="str">
        <f t="shared" si="141"/>
        <v>USD 40</v>
      </c>
      <c r="N859" s="1">
        <v>40</v>
      </c>
      <c r="O859" t="s">
        <v>1053</v>
      </c>
      <c r="P859" s="4">
        <f>[2]Sheet1!K859</f>
        <v>0.95</v>
      </c>
    </row>
    <row r="860" spans="1:16" x14ac:dyDescent="0.35">
      <c r="A860" t="s">
        <v>910</v>
      </c>
      <c r="B860" t="str">
        <f>TRIM([1]Sheet1!AD860)</f>
        <v>Beverly Roy</v>
      </c>
      <c r="C860" t="str">
        <f>IF(UPPER(LEFT([1]Sheet1!W860,1))="F","FEMALE","MALE")</f>
        <v>FEMALE</v>
      </c>
      <c r="D860">
        <v>20</v>
      </c>
      <c r="E860" t="s">
        <v>30</v>
      </c>
      <c r="F860" t="s">
        <v>30</v>
      </c>
      <c r="G860" t="s">
        <v>11</v>
      </c>
      <c r="H860" t="s">
        <v>16</v>
      </c>
      <c r="I860" s="1">
        <v>1</v>
      </c>
      <c r="J860" s="1" t="str">
        <f t="shared" si="140"/>
        <v>0-5</v>
      </c>
      <c r="K860" s="1">
        <v>2.7</v>
      </c>
      <c r="M860" s="1">
        <f t="shared" si="141"/>
        <v>0</v>
      </c>
      <c r="N860" s="1">
        <f t="shared" ref="N860:N867" si="146">M860</f>
        <v>0</v>
      </c>
      <c r="O860" t="s">
        <v>1053</v>
      </c>
      <c r="P860" s="3">
        <f>[2]Sheet1!K860/100</f>
        <v>0.94</v>
      </c>
    </row>
    <row r="861" spans="1:16" x14ac:dyDescent="0.35">
      <c r="A861" t="s">
        <v>911</v>
      </c>
      <c r="B861" t="str">
        <f>TRIM([1]Sheet1!AD861)</f>
        <v>Heather Saunders</v>
      </c>
      <c r="C861" t="str">
        <f>IF(UPPER(LEFT([1]Sheet1!W861,1))="F","FEMALE","MALE")</f>
        <v>FEMALE</v>
      </c>
      <c r="D861">
        <v>42</v>
      </c>
      <c r="E861" t="s">
        <v>99</v>
      </c>
      <c r="F861" t="s">
        <v>99</v>
      </c>
      <c r="G861" t="s">
        <v>38</v>
      </c>
      <c r="H861" t="s">
        <v>18</v>
      </c>
      <c r="J861" s="1" t="str">
        <f t="shared" si="140"/>
        <v>0-5</v>
      </c>
      <c r="K861" s="1">
        <v>4.2</v>
      </c>
      <c r="L861" s="2">
        <v>50</v>
      </c>
      <c r="M861" s="1">
        <f t="shared" si="141"/>
        <v>50</v>
      </c>
      <c r="N861" s="1">
        <f t="shared" si="146"/>
        <v>50</v>
      </c>
      <c r="P861" s="4">
        <f>[2]Sheet1!K861</f>
        <v>0.96</v>
      </c>
    </row>
    <row r="862" spans="1:16" x14ac:dyDescent="0.35">
      <c r="A862" t="s">
        <v>912</v>
      </c>
      <c r="B862" t="str">
        <f>TRIM([1]Sheet1!AD862)</f>
        <v>Nicholas Guerrero</v>
      </c>
      <c r="C862" t="str">
        <f>IF(UPPER(LEFT([1]Sheet1!W862,1))="F","FEMALE","MALE")</f>
        <v>MALE</v>
      </c>
      <c r="D862">
        <v>32</v>
      </c>
      <c r="E862" t="s">
        <v>70</v>
      </c>
      <c r="F862" t="s">
        <v>70</v>
      </c>
      <c r="G862" t="s">
        <v>11</v>
      </c>
      <c r="H862" t="s">
        <v>8</v>
      </c>
      <c r="I862" s="1">
        <v>12</v>
      </c>
      <c r="J862" s="1" t="str">
        <f t="shared" si="140"/>
        <v>11-16</v>
      </c>
      <c r="K862" s="1">
        <v>0</v>
      </c>
      <c r="L862" s="1">
        <v>40</v>
      </c>
      <c r="M862" s="1">
        <f t="shared" si="141"/>
        <v>40</v>
      </c>
      <c r="N862" s="1">
        <f t="shared" si="146"/>
        <v>40</v>
      </c>
      <c r="O862" t="s">
        <v>1054</v>
      </c>
      <c r="P862" s="4">
        <f>[2]Sheet1!K862</f>
        <v>0.63</v>
      </c>
    </row>
    <row r="863" spans="1:16" x14ac:dyDescent="0.35">
      <c r="A863" t="s">
        <v>913</v>
      </c>
      <c r="B863" t="str">
        <f>TRIM([1]Sheet1!AD863)</f>
        <v>Christopher Johnson</v>
      </c>
      <c r="C863" t="str">
        <f>IF(UPPER(LEFT([1]Sheet1!W863,1))="F","FEMALE","MALE")</f>
        <v>MALE</v>
      </c>
      <c r="D863">
        <v>60</v>
      </c>
      <c r="E863" t="s">
        <v>45</v>
      </c>
      <c r="F863" t="s">
        <v>45</v>
      </c>
      <c r="G863" t="s">
        <v>46</v>
      </c>
      <c r="H863" t="s">
        <v>23</v>
      </c>
      <c r="J863" s="1" t="str">
        <f t="shared" si="140"/>
        <v>0-5</v>
      </c>
      <c r="K863" s="1">
        <v>2.2000000000000002</v>
      </c>
      <c r="L863" s="1">
        <v>20</v>
      </c>
      <c r="M863" s="1">
        <f t="shared" si="141"/>
        <v>20</v>
      </c>
      <c r="N863" s="1">
        <f t="shared" si="146"/>
        <v>20</v>
      </c>
      <c r="O863" t="s">
        <v>1053</v>
      </c>
      <c r="P863" s="4">
        <f>[2]Sheet1!K863</f>
        <v>0.6</v>
      </c>
    </row>
    <row r="864" spans="1:16" x14ac:dyDescent="0.35">
      <c r="A864" t="s">
        <v>914</v>
      </c>
      <c r="B864" t="str">
        <f>TRIM([1]Sheet1!AD864)</f>
        <v>Steven Flowers</v>
      </c>
      <c r="C864" t="str">
        <f>IF(UPPER(LEFT([1]Sheet1!W864,1))="F","FEMALE","MALE")</f>
        <v>MALE</v>
      </c>
      <c r="D864">
        <v>46</v>
      </c>
      <c r="E864" t="s">
        <v>77</v>
      </c>
      <c r="F864" t="s">
        <v>77</v>
      </c>
      <c r="G864" t="s">
        <v>78</v>
      </c>
      <c r="H864" t="s">
        <v>62</v>
      </c>
      <c r="I864" s="1">
        <v>12</v>
      </c>
      <c r="J864" s="1" t="str">
        <f t="shared" si="140"/>
        <v>11-16</v>
      </c>
      <c r="K864" s="1">
        <v>4.7</v>
      </c>
      <c r="L864" s="1">
        <v>50</v>
      </c>
      <c r="M864" s="1">
        <f t="shared" si="141"/>
        <v>50</v>
      </c>
      <c r="N864" s="1">
        <f t="shared" si="146"/>
        <v>50</v>
      </c>
      <c r="O864" t="s">
        <v>1054</v>
      </c>
      <c r="P864" s="4">
        <f>[2]Sheet1!K864</f>
        <v>0.77</v>
      </c>
    </row>
    <row r="865" spans="1:16" x14ac:dyDescent="0.35">
      <c r="A865" t="s">
        <v>915</v>
      </c>
      <c r="B865" t="str">
        <f>TRIM([1]Sheet1!AD865)</f>
        <v>Marvin Woods III</v>
      </c>
      <c r="C865" t="str">
        <f>IF(UPPER(LEFT([1]Sheet1!W865,1))="F","FEMALE","MALE")</f>
        <v>MALE</v>
      </c>
      <c r="D865">
        <v>29</v>
      </c>
      <c r="E865" t="s">
        <v>96</v>
      </c>
      <c r="F865" t="s">
        <v>96</v>
      </c>
      <c r="G865" t="s">
        <v>97</v>
      </c>
      <c r="H865" t="s">
        <v>48</v>
      </c>
      <c r="I865" s="1">
        <v>0</v>
      </c>
      <c r="J865" s="1" t="str">
        <f t="shared" si="140"/>
        <v>0-5</v>
      </c>
      <c r="K865" s="1">
        <v>0</v>
      </c>
      <c r="L865" s="1">
        <v>30</v>
      </c>
      <c r="M865" s="1">
        <f t="shared" si="141"/>
        <v>30</v>
      </c>
      <c r="N865" s="1">
        <f t="shared" si="146"/>
        <v>30</v>
      </c>
      <c r="O865" t="s">
        <v>1053</v>
      </c>
      <c r="P865" s="4">
        <f>[2]Sheet1!K865</f>
        <v>0.63</v>
      </c>
    </row>
    <row r="866" spans="1:16" x14ac:dyDescent="0.35">
      <c r="A866" t="s">
        <v>916</v>
      </c>
      <c r="B866" t="str">
        <f>TRIM([1]Sheet1!AD866)</f>
        <v>Michelle Cook</v>
      </c>
      <c r="C866" t="str">
        <f>IF(UPPER(LEFT([1]Sheet1!W866,1))="F","FEMALE","MALE")</f>
        <v>FEMALE</v>
      </c>
      <c r="D866">
        <v>39</v>
      </c>
      <c r="E866" t="s">
        <v>57</v>
      </c>
      <c r="F866" t="s">
        <v>57</v>
      </c>
      <c r="G866" t="s">
        <v>58</v>
      </c>
      <c r="H866" t="s">
        <v>12</v>
      </c>
      <c r="I866" s="1">
        <v>18</v>
      </c>
      <c r="J866" s="1" t="str">
        <f t="shared" si="140"/>
        <v xml:space="preserve"> 16-20</v>
      </c>
      <c r="K866" s="1">
        <v>2.5</v>
      </c>
      <c r="L866" s="1">
        <v>20</v>
      </c>
      <c r="M866" s="1">
        <f t="shared" si="141"/>
        <v>20</v>
      </c>
      <c r="N866" s="1">
        <f t="shared" si="146"/>
        <v>20</v>
      </c>
      <c r="O866" t="s">
        <v>1054</v>
      </c>
      <c r="P866" s="4">
        <f>[2]Sheet1!K866</f>
        <v>0.61</v>
      </c>
    </row>
    <row r="867" spans="1:16" x14ac:dyDescent="0.35">
      <c r="A867" t="s">
        <v>917</v>
      </c>
      <c r="B867" t="str">
        <f>TRIM([1]Sheet1!AD867)</f>
        <v>Logan Zamora</v>
      </c>
      <c r="C867" t="str">
        <f>IF(UPPER(LEFT([1]Sheet1!W867,1))="F","FEMALE","MALE")</f>
        <v>MALE</v>
      </c>
      <c r="D867">
        <v>55</v>
      </c>
      <c r="E867" t="s">
        <v>67</v>
      </c>
      <c r="F867" t="s">
        <v>67</v>
      </c>
      <c r="G867" t="s">
        <v>68</v>
      </c>
      <c r="H867" t="s">
        <v>12</v>
      </c>
      <c r="I867" s="1">
        <v>2</v>
      </c>
      <c r="J867" s="1" t="str">
        <f t="shared" si="140"/>
        <v>0-5</v>
      </c>
      <c r="K867" s="1">
        <v>3.9</v>
      </c>
      <c r="L867" s="2">
        <v>50</v>
      </c>
      <c r="M867" s="1">
        <f t="shared" si="141"/>
        <v>50</v>
      </c>
      <c r="N867" s="1">
        <f t="shared" si="146"/>
        <v>50</v>
      </c>
      <c r="O867" t="s">
        <v>1054</v>
      </c>
      <c r="P867" s="4">
        <f>[2]Sheet1!K867</f>
        <v>0.88</v>
      </c>
    </row>
    <row r="868" spans="1:16" x14ac:dyDescent="0.35">
      <c r="A868" t="s">
        <v>918</v>
      </c>
      <c r="B868" t="str">
        <f>TRIM([1]Sheet1!AD868)</f>
        <v>Casey Roberts</v>
      </c>
      <c r="C868" t="str">
        <f>IF(UPPER(LEFT([1]Sheet1!W868,1))="F","FEMALE","MALE")</f>
        <v>MALE</v>
      </c>
      <c r="D868">
        <v>55</v>
      </c>
      <c r="E868" t="s">
        <v>32</v>
      </c>
      <c r="F868" t="s">
        <v>32</v>
      </c>
      <c r="G868" t="s">
        <v>33</v>
      </c>
      <c r="H868" t="s">
        <v>41</v>
      </c>
      <c r="J868" s="1" t="str">
        <f t="shared" si="140"/>
        <v>0-5</v>
      </c>
      <c r="K868" s="1">
        <v>1.2</v>
      </c>
      <c r="L868" s="1" t="s">
        <v>1062</v>
      </c>
      <c r="M868" s="1" t="str">
        <f t="shared" si="141"/>
        <v>USD 100</v>
      </c>
      <c r="N868" s="1">
        <v>100</v>
      </c>
      <c r="O868" t="s">
        <v>1054</v>
      </c>
      <c r="P868" s="4">
        <f>[2]Sheet1!K868</f>
        <v>0.69</v>
      </c>
    </row>
    <row r="869" spans="1:16" x14ac:dyDescent="0.35">
      <c r="A869" t="s">
        <v>919</v>
      </c>
      <c r="B869" t="str">
        <f>TRIM([1]Sheet1!AD869)</f>
        <v>Jerry Price</v>
      </c>
      <c r="C869" t="str">
        <f>IF(UPPER(LEFT([1]Sheet1!W869,1))="F","FEMALE","MALE")</f>
        <v>MALE</v>
      </c>
      <c r="D869">
        <v>40</v>
      </c>
      <c r="E869" t="s">
        <v>25</v>
      </c>
      <c r="F869" t="s">
        <v>25</v>
      </c>
      <c r="G869" t="s">
        <v>26</v>
      </c>
      <c r="H869" t="s">
        <v>27</v>
      </c>
      <c r="I869" s="1">
        <v>2</v>
      </c>
      <c r="J869" s="1" t="str">
        <f t="shared" si="140"/>
        <v>0-5</v>
      </c>
      <c r="K869" s="1">
        <v>4.5</v>
      </c>
      <c r="L869" s="1">
        <v>75</v>
      </c>
      <c r="M869" s="1">
        <f t="shared" si="141"/>
        <v>75</v>
      </c>
      <c r="N869" s="1">
        <f t="shared" ref="N869:N875" si="147">M869</f>
        <v>75</v>
      </c>
      <c r="O869" t="s">
        <v>1054</v>
      </c>
    </row>
    <row r="870" spans="1:16" x14ac:dyDescent="0.35">
      <c r="A870" t="s">
        <v>920</v>
      </c>
      <c r="B870" t="str">
        <f>TRIM([1]Sheet1!AD870)</f>
        <v>Kelly Ellis</v>
      </c>
      <c r="C870" t="str">
        <f>IF(UPPER(LEFT([1]Sheet1!W870,1))="F","FEMALE","MALE")</f>
        <v>FEMALE</v>
      </c>
      <c r="D870">
        <v>56</v>
      </c>
      <c r="E870" t="s">
        <v>96</v>
      </c>
      <c r="F870" t="s">
        <v>96</v>
      </c>
      <c r="G870" t="s">
        <v>97</v>
      </c>
      <c r="H870" t="s">
        <v>39</v>
      </c>
      <c r="I870" s="1">
        <v>35</v>
      </c>
      <c r="J870" s="1" t="str">
        <f t="shared" si="140"/>
        <v>31+</v>
      </c>
      <c r="K870" s="1">
        <v>2.7</v>
      </c>
      <c r="L870" s="2">
        <v>40</v>
      </c>
      <c r="M870" s="1">
        <f t="shared" si="141"/>
        <v>40</v>
      </c>
      <c r="N870" s="1">
        <f t="shared" si="147"/>
        <v>40</v>
      </c>
      <c r="O870" t="s">
        <v>1054</v>
      </c>
      <c r="P870" s="4">
        <f>[2]Sheet1!K870</f>
        <v>0.82</v>
      </c>
    </row>
    <row r="871" spans="1:16" x14ac:dyDescent="0.35">
      <c r="A871" t="s">
        <v>921</v>
      </c>
      <c r="B871" t="str">
        <f>TRIM([1]Sheet1!AD871)</f>
        <v>Caleb Guerra</v>
      </c>
      <c r="C871" t="str">
        <f>IF(UPPER(LEFT([1]Sheet1!W871,1))="F","FEMALE","MALE")</f>
        <v>MALE</v>
      </c>
      <c r="D871">
        <v>57</v>
      </c>
      <c r="E871" t="s">
        <v>99</v>
      </c>
      <c r="F871" t="s">
        <v>99</v>
      </c>
      <c r="G871" t="s">
        <v>38</v>
      </c>
      <c r="H871" t="s">
        <v>12</v>
      </c>
      <c r="I871" s="1">
        <v>21</v>
      </c>
      <c r="J871" s="1" t="str">
        <f t="shared" si="140"/>
        <v>21- 25</v>
      </c>
      <c r="K871" s="1">
        <v>2</v>
      </c>
      <c r="L871" s="1">
        <v>75</v>
      </c>
      <c r="M871" s="1">
        <f t="shared" si="141"/>
        <v>75</v>
      </c>
      <c r="N871" s="1">
        <f t="shared" si="147"/>
        <v>75</v>
      </c>
      <c r="O871" t="s">
        <v>1053</v>
      </c>
      <c r="P871" s="4">
        <f>[2]Sheet1!K871</f>
        <v>0.96</v>
      </c>
    </row>
    <row r="872" spans="1:16" x14ac:dyDescent="0.35">
      <c r="A872" t="s">
        <v>922</v>
      </c>
      <c r="B872" t="str">
        <f>TRIM([1]Sheet1!AD872)</f>
        <v>Samantha Norman</v>
      </c>
      <c r="C872" t="str">
        <f>IF(UPPER(LEFT([1]Sheet1!W872,1))="F","FEMALE","MALE")</f>
        <v>FEMALE</v>
      </c>
      <c r="D872">
        <v>56</v>
      </c>
      <c r="E872" t="s">
        <v>67</v>
      </c>
      <c r="F872" t="s">
        <v>67</v>
      </c>
      <c r="G872" t="s">
        <v>68</v>
      </c>
      <c r="H872" t="s">
        <v>48</v>
      </c>
      <c r="I872" s="1">
        <v>3</v>
      </c>
      <c r="J872" s="1" t="str">
        <f t="shared" si="140"/>
        <v>0-5</v>
      </c>
      <c r="K872" s="1">
        <v>1.7</v>
      </c>
      <c r="L872" s="2">
        <v>40</v>
      </c>
      <c r="M872" s="1">
        <f t="shared" si="141"/>
        <v>40</v>
      </c>
      <c r="N872" s="1">
        <f t="shared" si="147"/>
        <v>40</v>
      </c>
      <c r="O872" t="s">
        <v>1053</v>
      </c>
      <c r="P872" s="4">
        <f>[2]Sheet1!K872</f>
        <v>0.71</v>
      </c>
    </row>
    <row r="873" spans="1:16" x14ac:dyDescent="0.35">
      <c r="A873" t="s">
        <v>923</v>
      </c>
      <c r="B873" t="str">
        <f>TRIM([1]Sheet1!AD873)</f>
        <v>Sarah Clarke</v>
      </c>
      <c r="C873" t="str">
        <f>IF(UPPER(LEFT([1]Sheet1!W873,1))="F","FEMALE","MALE")</f>
        <v>FEMALE</v>
      </c>
      <c r="D873">
        <v>49</v>
      </c>
      <c r="E873" t="s">
        <v>14</v>
      </c>
      <c r="F873" t="s">
        <v>14</v>
      </c>
      <c r="G873" t="s">
        <v>15</v>
      </c>
      <c r="H873" t="s">
        <v>12</v>
      </c>
      <c r="I873" s="1">
        <v>24</v>
      </c>
      <c r="J873" s="1" t="str">
        <f t="shared" si="140"/>
        <v>21- 25</v>
      </c>
      <c r="K873" s="1">
        <v>3</v>
      </c>
      <c r="L873" s="2">
        <v>75</v>
      </c>
      <c r="M873" s="1">
        <f t="shared" si="141"/>
        <v>75</v>
      </c>
      <c r="N873" s="1">
        <f t="shared" si="147"/>
        <v>75</v>
      </c>
      <c r="O873" t="s">
        <v>1054</v>
      </c>
      <c r="P873" s="4">
        <f>[2]Sheet1!K873</f>
        <v>0.77</v>
      </c>
    </row>
    <row r="874" spans="1:16" x14ac:dyDescent="0.35">
      <c r="A874" t="s">
        <v>924</v>
      </c>
      <c r="B874" t="str">
        <f>TRIM([1]Sheet1!AD874)</f>
        <v>Aaron Blair</v>
      </c>
      <c r="C874" t="str">
        <f>IF(UPPER(LEFT([1]Sheet1!W874,1))="F","FEMALE","MALE")</f>
        <v>MALE</v>
      </c>
      <c r="D874">
        <v>26</v>
      </c>
      <c r="E874" t="s">
        <v>105</v>
      </c>
      <c r="F874" t="s">
        <v>105</v>
      </c>
      <c r="G874" t="s">
        <v>38</v>
      </c>
      <c r="H874" t="s">
        <v>8</v>
      </c>
      <c r="J874" s="1" t="str">
        <f t="shared" si="140"/>
        <v>0-5</v>
      </c>
      <c r="K874" s="1">
        <v>2.1</v>
      </c>
      <c r="L874" s="2">
        <v>75</v>
      </c>
      <c r="M874" s="1">
        <f t="shared" si="141"/>
        <v>75</v>
      </c>
      <c r="N874" s="1">
        <f t="shared" si="147"/>
        <v>75</v>
      </c>
      <c r="O874" t="s">
        <v>1054</v>
      </c>
    </row>
    <row r="875" spans="1:16" x14ac:dyDescent="0.35">
      <c r="A875" t="s">
        <v>925</v>
      </c>
      <c r="B875" t="str">
        <f>TRIM([1]Sheet1!AD875)</f>
        <v>Courtney Burton</v>
      </c>
      <c r="C875" t="str">
        <f>IF(UPPER(LEFT([1]Sheet1!W875,1))="F","FEMALE","MALE")</f>
        <v>FEMALE</v>
      </c>
      <c r="D875">
        <v>36</v>
      </c>
      <c r="E875" t="s">
        <v>60</v>
      </c>
      <c r="F875" t="s">
        <v>60</v>
      </c>
      <c r="G875" t="s">
        <v>61</v>
      </c>
      <c r="H875" t="s">
        <v>39</v>
      </c>
      <c r="I875" s="1">
        <v>0</v>
      </c>
      <c r="J875" s="1" t="str">
        <f t="shared" si="140"/>
        <v>0-5</v>
      </c>
      <c r="K875" s="1">
        <v>1.5</v>
      </c>
      <c r="L875" s="1">
        <v>75</v>
      </c>
      <c r="M875" s="1">
        <f t="shared" si="141"/>
        <v>75</v>
      </c>
      <c r="N875" s="1">
        <f t="shared" si="147"/>
        <v>75</v>
      </c>
      <c r="P875" s="4">
        <f>[2]Sheet1!K875</f>
        <v>0.73</v>
      </c>
    </row>
    <row r="876" spans="1:16" x14ac:dyDescent="0.35">
      <c r="A876" t="s">
        <v>926</v>
      </c>
      <c r="B876" t="str">
        <f>TRIM([1]Sheet1!AD876)</f>
        <v>Gerald Taylor</v>
      </c>
      <c r="C876" t="str">
        <f>IF(UPPER(LEFT([1]Sheet1!W876,1))="F","FEMALE","MALE")</f>
        <v>MALE</v>
      </c>
      <c r="D876">
        <v>20</v>
      </c>
      <c r="E876" t="s">
        <v>67</v>
      </c>
      <c r="F876" t="s">
        <v>67</v>
      </c>
      <c r="G876" t="s">
        <v>68</v>
      </c>
      <c r="H876" t="s">
        <v>18</v>
      </c>
      <c r="I876" s="1">
        <v>2</v>
      </c>
      <c r="J876" s="1" t="str">
        <f t="shared" si="140"/>
        <v>0-5</v>
      </c>
      <c r="K876" s="1">
        <v>1.7</v>
      </c>
      <c r="L876" s="1" t="s">
        <v>1066</v>
      </c>
      <c r="M876" s="1" t="str">
        <f t="shared" si="141"/>
        <v>USD 30</v>
      </c>
      <c r="N876" s="1">
        <v>30</v>
      </c>
      <c r="O876" t="s">
        <v>1054</v>
      </c>
      <c r="P876" s="4">
        <f>[2]Sheet1!K876</f>
        <v>0.6</v>
      </c>
    </row>
    <row r="877" spans="1:16" x14ac:dyDescent="0.35">
      <c r="A877" t="s">
        <v>927</v>
      </c>
      <c r="B877" t="str">
        <f>TRIM([1]Sheet1!AD877)</f>
        <v>Mary Ward</v>
      </c>
      <c r="C877" t="str">
        <f>IF(UPPER(LEFT([1]Sheet1!W877,1))="F","FEMALE","MALE")</f>
        <v>FEMALE</v>
      </c>
      <c r="D877">
        <v>40</v>
      </c>
      <c r="E877" t="s">
        <v>105</v>
      </c>
      <c r="F877" t="s">
        <v>105</v>
      </c>
      <c r="G877" t="s">
        <v>38</v>
      </c>
      <c r="H877" t="s">
        <v>23</v>
      </c>
      <c r="J877" s="1" t="str">
        <f t="shared" si="140"/>
        <v>0-5</v>
      </c>
      <c r="K877" s="1">
        <v>1.2</v>
      </c>
      <c r="M877" s="1">
        <f t="shared" si="141"/>
        <v>0</v>
      </c>
      <c r="N877" s="1">
        <f t="shared" ref="N877:N882" si="148">M877</f>
        <v>0</v>
      </c>
      <c r="O877" t="s">
        <v>1054</v>
      </c>
      <c r="P877" s="4">
        <f>[2]Sheet1!K877</f>
        <v>0.67</v>
      </c>
    </row>
    <row r="878" spans="1:16" x14ac:dyDescent="0.35">
      <c r="A878" t="s">
        <v>928</v>
      </c>
      <c r="B878" t="str">
        <f>TRIM([1]Sheet1!AD878)</f>
        <v>Lisa Beard</v>
      </c>
      <c r="C878" t="str">
        <f>IF(UPPER(LEFT([1]Sheet1!W878,1))="F","FEMALE","MALE")</f>
        <v>FEMALE</v>
      </c>
      <c r="D878">
        <v>30</v>
      </c>
      <c r="E878" t="s">
        <v>50</v>
      </c>
      <c r="F878" t="s">
        <v>50</v>
      </c>
      <c r="G878" t="s">
        <v>51</v>
      </c>
      <c r="H878" t="s">
        <v>12</v>
      </c>
      <c r="I878" s="1">
        <v>6</v>
      </c>
      <c r="J878" s="1" t="str">
        <f t="shared" si="140"/>
        <v>5-10</v>
      </c>
      <c r="K878" s="1">
        <v>0</v>
      </c>
      <c r="L878" s="1">
        <v>75</v>
      </c>
      <c r="M878" s="1">
        <f t="shared" si="141"/>
        <v>75</v>
      </c>
      <c r="N878" s="1">
        <f t="shared" si="148"/>
        <v>75</v>
      </c>
      <c r="O878" t="s">
        <v>1053</v>
      </c>
      <c r="P878" s="4">
        <f>[2]Sheet1!K878</f>
        <v>0.8</v>
      </c>
    </row>
    <row r="879" spans="1:16" x14ac:dyDescent="0.35">
      <c r="A879" t="s">
        <v>929</v>
      </c>
      <c r="B879" t="str">
        <f>TRIM([1]Sheet1!AD879)</f>
        <v>Larry Wallace</v>
      </c>
      <c r="C879" t="str">
        <f>IF(UPPER(LEFT([1]Sheet1!W879,1))="F","FEMALE","MALE")</f>
        <v>MALE</v>
      </c>
      <c r="D879">
        <v>51</v>
      </c>
      <c r="E879" t="s">
        <v>10</v>
      </c>
      <c r="F879" t="s">
        <v>10</v>
      </c>
      <c r="G879" t="s">
        <v>11</v>
      </c>
      <c r="H879" t="s">
        <v>16</v>
      </c>
      <c r="I879" s="1">
        <v>21</v>
      </c>
      <c r="J879" s="1" t="str">
        <f t="shared" si="140"/>
        <v>21- 25</v>
      </c>
      <c r="L879" s="1">
        <v>20</v>
      </c>
      <c r="M879" s="1">
        <f t="shared" si="141"/>
        <v>20</v>
      </c>
      <c r="N879" s="1">
        <f t="shared" si="148"/>
        <v>20</v>
      </c>
      <c r="O879" t="s">
        <v>1054</v>
      </c>
    </row>
    <row r="880" spans="1:16" x14ac:dyDescent="0.35">
      <c r="A880" t="s">
        <v>930</v>
      </c>
      <c r="B880" t="str">
        <f>TRIM([1]Sheet1!AD880)</f>
        <v>Jeremiah Thompson</v>
      </c>
      <c r="C880" t="str">
        <f>IF(UPPER(LEFT([1]Sheet1!W880,1))="F","FEMALE","MALE")</f>
        <v>MALE</v>
      </c>
      <c r="D880">
        <v>46</v>
      </c>
      <c r="E880" t="s">
        <v>30</v>
      </c>
      <c r="F880" t="s">
        <v>30</v>
      </c>
      <c r="G880" t="s">
        <v>11</v>
      </c>
      <c r="H880" t="s">
        <v>39</v>
      </c>
      <c r="I880" s="1">
        <v>24</v>
      </c>
      <c r="J880" s="1" t="str">
        <f t="shared" si="140"/>
        <v>21- 25</v>
      </c>
      <c r="K880" s="1">
        <v>3.3</v>
      </c>
      <c r="L880" s="1">
        <v>40</v>
      </c>
      <c r="M880" s="1">
        <f t="shared" si="141"/>
        <v>40</v>
      </c>
      <c r="N880" s="1">
        <f t="shared" si="148"/>
        <v>40</v>
      </c>
      <c r="O880" t="s">
        <v>1054</v>
      </c>
      <c r="P880" s="4">
        <f>[2]Sheet1!K880</f>
        <v>0.87</v>
      </c>
    </row>
    <row r="881" spans="1:16" x14ac:dyDescent="0.35">
      <c r="A881" t="s">
        <v>931</v>
      </c>
      <c r="B881" t="str">
        <f>TRIM([1]Sheet1!AD881)</f>
        <v>Jessica Williams</v>
      </c>
      <c r="C881" t="str">
        <f>IF(UPPER(LEFT([1]Sheet1!W881,1))="F","FEMALE","MALE")</f>
        <v>FEMALE</v>
      </c>
      <c r="D881">
        <v>25</v>
      </c>
      <c r="E881" t="s">
        <v>60</v>
      </c>
      <c r="F881" t="s">
        <v>60</v>
      </c>
      <c r="G881" t="s">
        <v>61</v>
      </c>
      <c r="H881" t="s">
        <v>23</v>
      </c>
      <c r="I881" s="1">
        <v>6</v>
      </c>
      <c r="J881" s="1" t="str">
        <f t="shared" si="140"/>
        <v>5-10</v>
      </c>
      <c r="K881" s="1">
        <v>2.1</v>
      </c>
      <c r="L881" s="1">
        <v>20</v>
      </c>
      <c r="M881" s="1">
        <f t="shared" si="141"/>
        <v>20</v>
      </c>
      <c r="N881" s="1">
        <f t="shared" si="148"/>
        <v>20</v>
      </c>
      <c r="O881" t="s">
        <v>1053</v>
      </c>
    </row>
    <row r="882" spans="1:16" x14ac:dyDescent="0.35">
      <c r="A882" t="s">
        <v>932</v>
      </c>
      <c r="B882" t="str">
        <f>TRIM([1]Sheet1!AD882)</f>
        <v>Martin Moreno</v>
      </c>
      <c r="C882" t="str">
        <f>IF(UPPER(LEFT([1]Sheet1!W882,1))="F","FEMALE","MALE")</f>
        <v>MALE</v>
      </c>
      <c r="D882">
        <v>53</v>
      </c>
      <c r="E882" t="s">
        <v>21</v>
      </c>
      <c r="F882" t="s">
        <v>21</v>
      </c>
      <c r="G882" t="s">
        <v>22</v>
      </c>
      <c r="H882" t="s">
        <v>18</v>
      </c>
      <c r="I882" s="1">
        <v>32</v>
      </c>
      <c r="J882" s="1" t="str">
        <f t="shared" si="140"/>
        <v>31+</v>
      </c>
      <c r="L882" s="1">
        <v>50</v>
      </c>
      <c r="M882" s="1">
        <f t="shared" si="141"/>
        <v>50</v>
      </c>
      <c r="N882" s="1">
        <f t="shared" si="148"/>
        <v>50</v>
      </c>
      <c r="O882" t="s">
        <v>1054</v>
      </c>
    </row>
    <row r="883" spans="1:16" x14ac:dyDescent="0.35">
      <c r="A883" t="s">
        <v>933</v>
      </c>
      <c r="B883" t="str">
        <f>TRIM([1]Sheet1!AD883)</f>
        <v>Yolanda Proctor</v>
      </c>
      <c r="C883" t="str">
        <f>IF(UPPER(LEFT([1]Sheet1!W883,1))="F","FEMALE","MALE")</f>
        <v>FEMALE</v>
      </c>
      <c r="D883">
        <v>50</v>
      </c>
      <c r="E883" t="s">
        <v>77</v>
      </c>
      <c r="F883" t="s">
        <v>77</v>
      </c>
      <c r="G883" t="s">
        <v>78</v>
      </c>
      <c r="H883" t="s">
        <v>12</v>
      </c>
      <c r="I883" s="1">
        <v>31</v>
      </c>
      <c r="J883" s="1" t="str">
        <f t="shared" si="140"/>
        <v>31+</v>
      </c>
      <c r="K883" s="1">
        <v>2.9</v>
      </c>
      <c r="L883" s="1" t="s">
        <v>1062</v>
      </c>
      <c r="M883" s="1" t="str">
        <f t="shared" si="141"/>
        <v>USD 100</v>
      </c>
      <c r="N883" s="1">
        <v>100</v>
      </c>
      <c r="O883" t="s">
        <v>1054</v>
      </c>
      <c r="P883" s="4">
        <f>[2]Sheet1!K883</f>
        <v>0.89</v>
      </c>
    </row>
    <row r="884" spans="1:16" x14ac:dyDescent="0.35">
      <c r="A884" t="s">
        <v>934</v>
      </c>
      <c r="B884" t="str">
        <f>TRIM([1]Sheet1!AD884)</f>
        <v>Allen Turner</v>
      </c>
      <c r="C884" t="str">
        <f>IF(UPPER(LEFT([1]Sheet1!W884,1))="F","FEMALE","MALE")</f>
        <v>MALE</v>
      </c>
      <c r="D884">
        <v>45</v>
      </c>
      <c r="E884" t="s">
        <v>60</v>
      </c>
      <c r="F884" t="s">
        <v>60</v>
      </c>
      <c r="G884" t="s">
        <v>61</v>
      </c>
      <c r="H884" t="s">
        <v>23</v>
      </c>
      <c r="J884" s="1" t="str">
        <f t="shared" si="140"/>
        <v>0-5</v>
      </c>
      <c r="K884" s="1">
        <v>3.3</v>
      </c>
      <c r="L884" s="1" t="s">
        <v>1067</v>
      </c>
      <c r="M884" s="1" t="str">
        <f t="shared" si="141"/>
        <v>USD 20</v>
      </c>
      <c r="N884" s="1">
        <v>20</v>
      </c>
      <c r="O884" t="s">
        <v>1054</v>
      </c>
      <c r="P884" s="4">
        <f>[2]Sheet1!K884</f>
        <v>0.93</v>
      </c>
    </row>
    <row r="885" spans="1:16" x14ac:dyDescent="0.35">
      <c r="A885" t="s">
        <v>935</v>
      </c>
      <c r="B885" t="str">
        <f>TRIM([1]Sheet1!AD885)</f>
        <v>Beth Huff</v>
      </c>
      <c r="C885" t="str">
        <f>IF(UPPER(LEFT([1]Sheet1!W885,1))="F","FEMALE","MALE")</f>
        <v>FEMALE</v>
      </c>
      <c r="D885">
        <v>48</v>
      </c>
      <c r="E885" t="s">
        <v>70</v>
      </c>
      <c r="F885" t="s">
        <v>70</v>
      </c>
      <c r="G885" t="s">
        <v>11</v>
      </c>
      <c r="H885" t="s">
        <v>41</v>
      </c>
      <c r="I885" s="1">
        <v>24</v>
      </c>
      <c r="J885" s="1" t="str">
        <f t="shared" si="140"/>
        <v>21- 25</v>
      </c>
      <c r="K885" s="1">
        <v>4.8</v>
      </c>
      <c r="L885" s="1">
        <v>100</v>
      </c>
      <c r="M885" s="1">
        <f t="shared" si="141"/>
        <v>100</v>
      </c>
      <c r="N885" s="1">
        <f t="shared" ref="N885:N891" si="149">M885</f>
        <v>100</v>
      </c>
      <c r="O885" t="s">
        <v>1054</v>
      </c>
      <c r="P885" s="4">
        <f>[2]Sheet1!K885</f>
        <v>0.84</v>
      </c>
    </row>
    <row r="886" spans="1:16" x14ac:dyDescent="0.35">
      <c r="A886" t="s">
        <v>936</v>
      </c>
      <c r="B886" t="str">
        <f>TRIM([1]Sheet1!AD886)</f>
        <v>John Mckinney</v>
      </c>
      <c r="C886" t="str">
        <f>IF(UPPER(LEFT([1]Sheet1!W886,1))="F","FEMALE","MALE")</f>
        <v>MALE</v>
      </c>
      <c r="D886">
        <v>30</v>
      </c>
      <c r="E886" t="s">
        <v>25</v>
      </c>
      <c r="F886" t="s">
        <v>25</v>
      </c>
      <c r="G886" t="s">
        <v>26</v>
      </c>
      <c r="H886" t="s">
        <v>48</v>
      </c>
      <c r="J886" s="1" t="str">
        <f t="shared" si="140"/>
        <v>0-5</v>
      </c>
      <c r="K886" s="1">
        <v>4.5</v>
      </c>
      <c r="L886" s="2">
        <v>100</v>
      </c>
      <c r="M886" s="1">
        <f t="shared" si="141"/>
        <v>100</v>
      </c>
      <c r="N886" s="1">
        <f t="shared" si="149"/>
        <v>100</v>
      </c>
      <c r="P886" s="4">
        <f>[2]Sheet1!K886</f>
        <v>0.78</v>
      </c>
    </row>
    <row r="887" spans="1:16" x14ac:dyDescent="0.35">
      <c r="A887" t="s">
        <v>937</v>
      </c>
      <c r="B887" t="str">
        <f>TRIM([1]Sheet1!AD887)</f>
        <v>Sarah Ho</v>
      </c>
      <c r="C887" t="str">
        <f>IF(UPPER(LEFT([1]Sheet1!W887,1))="F","FEMALE","MALE")</f>
        <v>FEMALE</v>
      </c>
      <c r="D887">
        <v>33</v>
      </c>
      <c r="E887" t="s">
        <v>21</v>
      </c>
      <c r="F887" t="s">
        <v>21</v>
      </c>
      <c r="G887" t="s">
        <v>22</v>
      </c>
      <c r="H887" t="s">
        <v>39</v>
      </c>
      <c r="I887" s="1">
        <v>6</v>
      </c>
      <c r="J887" s="1" t="str">
        <f t="shared" si="140"/>
        <v>5-10</v>
      </c>
      <c r="K887" s="1">
        <v>3.1</v>
      </c>
      <c r="L887" s="2">
        <v>50</v>
      </c>
      <c r="M887" s="1">
        <f t="shared" si="141"/>
        <v>50</v>
      </c>
      <c r="N887" s="1">
        <f t="shared" si="149"/>
        <v>50</v>
      </c>
      <c r="O887" t="s">
        <v>1053</v>
      </c>
      <c r="P887" s="4">
        <f>[2]Sheet1!K887</f>
        <v>0.9</v>
      </c>
    </row>
    <row r="888" spans="1:16" x14ac:dyDescent="0.35">
      <c r="A888" t="s">
        <v>938</v>
      </c>
      <c r="B888" t="str">
        <f>TRIM([1]Sheet1!AD888)</f>
        <v>Lindsey Wang</v>
      </c>
      <c r="C888" t="str">
        <f>IF(UPPER(LEFT([1]Sheet1!W888,1))="F","FEMALE","MALE")</f>
        <v>FEMALE</v>
      </c>
      <c r="D888">
        <v>50</v>
      </c>
      <c r="E888" t="s">
        <v>35</v>
      </c>
      <c r="F888" t="s">
        <v>35</v>
      </c>
      <c r="G888" t="s">
        <v>11</v>
      </c>
      <c r="H888" t="s">
        <v>48</v>
      </c>
      <c r="I888" s="1">
        <v>11</v>
      </c>
      <c r="J888" s="1" t="str">
        <f t="shared" si="140"/>
        <v>11-16</v>
      </c>
      <c r="K888" s="1">
        <v>4.9000000000000004</v>
      </c>
      <c r="M888" s="1">
        <f t="shared" si="141"/>
        <v>0</v>
      </c>
      <c r="N888" s="1">
        <f t="shared" si="149"/>
        <v>0</v>
      </c>
      <c r="O888" t="s">
        <v>1054</v>
      </c>
      <c r="P888" s="4">
        <f>[2]Sheet1!K888</f>
        <v>0.88</v>
      </c>
    </row>
    <row r="889" spans="1:16" x14ac:dyDescent="0.35">
      <c r="A889" t="s">
        <v>939</v>
      </c>
      <c r="B889" t="str">
        <f>TRIM([1]Sheet1!AD889)</f>
        <v>Margaret Schwartz</v>
      </c>
      <c r="C889" t="str">
        <f>IF(UPPER(LEFT([1]Sheet1!W889,1))="F","FEMALE","MALE")</f>
        <v>FEMALE</v>
      </c>
      <c r="D889">
        <v>24</v>
      </c>
      <c r="E889" t="s">
        <v>25</v>
      </c>
      <c r="F889" t="s">
        <v>25</v>
      </c>
      <c r="G889" t="s">
        <v>26</v>
      </c>
      <c r="H889" t="s">
        <v>27</v>
      </c>
      <c r="J889" s="1" t="str">
        <f t="shared" si="140"/>
        <v>0-5</v>
      </c>
      <c r="K889" s="1">
        <v>0</v>
      </c>
      <c r="L889" s="2">
        <v>20</v>
      </c>
      <c r="M889" s="1">
        <f t="shared" si="141"/>
        <v>20</v>
      </c>
      <c r="N889" s="1">
        <f t="shared" si="149"/>
        <v>20</v>
      </c>
      <c r="O889" t="s">
        <v>1053</v>
      </c>
      <c r="P889" s="4">
        <f>[2]Sheet1!K889</f>
        <v>0.76</v>
      </c>
    </row>
    <row r="890" spans="1:16" x14ac:dyDescent="0.35">
      <c r="A890" t="s">
        <v>940</v>
      </c>
      <c r="B890" t="str">
        <f>TRIM([1]Sheet1!AD890)</f>
        <v>Kyle Ray</v>
      </c>
      <c r="C890" t="str">
        <f>IF(UPPER(LEFT([1]Sheet1!W890,1))="F","FEMALE","MALE")</f>
        <v>MALE</v>
      </c>
      <c r="D890">
        <v>38</v>
      </c>
      <c r="E890" t="s">
        <v>6</v>
      </c>
      <c r="F890" t="s">
        <v>6</v>
      </c>
      <c r="G890" t="s">
        <v>7</v>
      </c>
      <c r="H890" t="s">
        <v>18</v>
      </c>
      <c r="I890" s="1">
        <v>14</v>
      </c>
      <c r="J890" s="1" t="str">
        <f t="shared" si="140"/>
        <v>11-16</v>
      </c>
      <c r="K890" s="1">
        <v>1.5</v>
      </c>
      <c r="L890" s="1">
        <v>75</v>
      </c>
      <c r="M890" s="1">
        <f t="shared" si="141"/>
        <v>75</v>
      </c>
      <c r="N890" s="1">
        <f t="shared" si="149"/>
        <v>75</v>
      </c>
      <c r="O890" t="s">
        <v>1053</v>
      </c>
      <c r="P890" s="4">
        <f>[2]Sheet1!K890</f>
        <v>0.62</v>
      </c>
    </row>
    <row r="891" spans="1:16" x14ac:dyDescent="0.35">
      <c r="A891" t="s">
        <v>941</v>
      </c>
      <c r="B891" t="str">
        <f>TRIM([1]Sheet1!AD891)</f>
        <v>Isaac Hebert</v>
      </c>
      <c r="C891" t="str">
        <f>IF(UPPER(LEFT([1]Sheet1!W891,1))="F","FEMALE","MALE")</f>
        <v>MALE</v>
      </c>
      <c r="D891">
        <v>56</v>
      </c>
      <c r="E891" t="s">
        <v>45</v>
      </c>
      <c r="F891" t="s">
        <v>45</v>
      </c>
      <c r="G891" t="s">
        <v>46</v>
      </c>
      <c r="H891" t="s">
        <v>48</v>
      </c>
      <c r="I891" s="1">
        <v>2</v>
      </c>
      <c r="J891" s="1" t="str">
        <f t="shared" si="140"/>
        <v>0-5</v>
      </c>
      <c r="K891" s="1">
        <v>2.4</v>
      </c>
      <c r="L891" s="2">
        <v>75</v>
      </c>
      <c r="M891" s="1">
        <f t="shared" si="141"/>
        <v>75</v>
      </c>
      <c r="N891" s="1">
        <f t="shared" si="149"/>
        <v>75</v>
      </c>
      <c r="O891" t="s">
        <v>1053</v>
      </c>
    </row>
    <row r="892" spans="1:16" x14ac:dyDescent="0.35">
      <c r="A892" t="s">
        <v>942</v>
      </c>
      <c r="B892" t="str">
        <f>TRIM([1]Sheet1!AD892)</f>
        <v>Michele Jones</v>
      </c>
      <c r="C892" t="str">
        <f>IF(UPPER(LEFT([1]Sheet1!W892,1))="F","FEMALE","MALE")</f>
        <v>FEMALE</v>
      </c>
      <c r="D892">
        <v>41</v>
      </c>
      <c r="E892" t="s">
        <v>67</v>
      </c>
      <c r="F892" t="s">
        <v>67</v>
      </c>
      <c r="G892" t="s">
        <v>68</v>
      </c>
      <c r="H892" t="s">
        <v>48</v>
      </c>
      <c r="I892" s="1">
        <v>2</v>
      </c>
      <c r="J892" s="1" t="str">
        <f t="shared" si="140"/>
        <v>0-5</v>
      </c>
      <c r="K892" s="1">
        <v>4.5</v>
      </c>
      <c r="L892" s="1" t="s">
        <v>1062</v>
      </c>
      <c r="M892" s="1" t="str">
        <f t="shared" si="141"/>
        <v>USD 100</v>
      </c>
      <c r="N892" s="1">
        <v>100</v>
      </c>
      <c r="O892" t="s">
        <v>1053</v>
      </c>
      <c r="P892" s="3">
        <f>[2]Sheet1!K892/100</f>
        <v>0.75</v>
      </c>
    </row>
    <row r="893" spans="1:16" x14ac:dyDescent="0.35">
      <c r="A893" t="s">
        <v>943</v>
      </c>
      <c r="B893" t="str">
        <f>TRIM([1]Sheet1!AD893)</f>
        <v>Austin Allen</v>
      </c>
      <c r="C893" t="str">
        <f>IF(UPPER(LEFT([1]Sheet1!W893,1))="F","FEMALE","MALE")</f>
        <v>MALE</v>
      </c>
      <c r="E893" t="s">
        <v>6</v>
      </c>
      <c r="F893" t="s">
        <v>6</v>
      </c>
      <c r="G893" t="s">
        <v>7</v>
      </c>
      <c r="H893" t="s">
        <v>39</v>
      </c>
      <c r="I893" s="1">
        <v>11</v>
      </c>
      <c r="J893" s="1" t="str">
        <f t="shared" si="140"/>
        <v>11-16</v>
      </c>
      <c r="K893" s="1">
        <v>2.5</v>
      </c>
      <c r="L893" s="1" t="s">
        <v>1062</v>
      </c>
      <c r="M893" s="1" t="str">
        <f t="shared" si="141"/>
        <v>USD 100</v>
      </c>
      <c r="N893" s="1">
        <v>100</v>
      </c>
      <c r="O893" t="s">
        <v>1054</v>
      </c>
      <c r="P893" s="3">
        <f>[2]Sheet1!K893/100</f>
        <v>0.8</v>
      </c>
    </row>
    <row r="894" spans="1:16" x14ac:dyDescent="0.35">
      <c r="A894" t="s">
        <v>944</v>
      </c>
      <c r="B894" t="str">
        <f>TRIM([1]Sheet1!AD894)</f>
        <v>Haley Castro</v>
      </c>
      <c r="C894" t="str">
        <f>IF(UPPER(LEFT([1]Sheet1!W894,1))="F","FEMALE","MALE")</f>
        <v>FEMALE</v>
      </c>
      <c r="D894">
        <v>42</v>
      </c>
      <c r="E894" t="s">
        <v>14</v>
      </c>
      <c r="F894" t="s">
        <v>14</v>
      </c>
      <c r="G894" t="s">
        <v>15</v>
      </c>
      <c r="H894" t="s">
        <v>16</v>
      </c>
      <c r="I894" s="1">
        <v>13</v>
      </c>
      <c r="J894" s="1" t="str">
        <f t="shared" si="140"/>
        <v>11-16</v>
      </c>
      <c r="K894" s="1">
        <v>3.3</v>
      </c>
      <c r="L894" s="1">
        <v>30</v>
      </c>
      <c r="M894" s="1">
        <f t="shared" si="141"/>
        <v>30</v>
      </c>
      <c r="N894" s="1">
        <f t="shared" ref="N894:N903" si="150">M894</f>
        <v>30</v>
      </c>
      <c r="P894" s="4">
        <f>[2]Sheet1!K894</f>
        <v>0.63</v>
      </c>
    </row>
    <row r="895" spans="1:16" x14ac:dyDescent="0.35">
      <c r="A895" t="s">
        <v>945</v>
      </c>
      <c r="B895" t="str">
        <f>TRIM([1]Sheet1!AD895)</f>
        <v>David Armstrong</v>
      </c>
      <c r="C895" t="str">
        <f>IF(UPPER(LEFT([1]Sheet1!W895,1))="F","FEMALE","MALE")</f>
        <v>MALE</v>
      </c>
      <c r="D895">
        <v>26</v>
      </c>
      <c r="E895" t="s">
        <v>50</v>
      </c>
      <c r="F895" t="s">
        <v>50</v>
      </c>
      <c r="G895" t="s">
        <v>51</v>
      </c>
      <c r="H895" t="s">
        <v>8</v>
      </c>
      <c r="I895" s="1">
        <v>7</v>
      </c>
      <c r="J895" s="1" t="str">
        <f t="shared" si="140"/>
        <v>5-10</v>
      </c>
      <c r="K895" s="1">
        <v>3</v>
      </c>
      <c r="L895" s="1">
        <v>75</v>
      </c>
      <c r="M895" s="1">
        <f t="shared" si="141"/>
        <v>75</v>
      </c>
      <c r="N895" s="1">
        <f t="shared" si="150"/>
        <v>75</v>
      </c>
      <c r="P895" s="4">
        <f>[2]Sheet1!K895</f>
        <v>0.84</v>
      </c>
    </row>
    <row r="896" spans="1:16" x14ac:dyDescent="0.35">
      <c r="A896" t="s">
        <v>946</v>
      </c>
      <c r="B896" t="str">
        <f>TRIM([1]Sheet1!AD896)</f>
        <v>Wendy Mitchell</v>
      </c>
      <c r="C896" t="str">
        <f>IF(UPPER(LEFT([1]Sheet1!W896,1))="F","FEMALE","MALE")</f>
        <v>FEMALE</v>
      </c>
      <c r="D896">
        <v>44</v>
      </c>
      <c r="E896" t="s">
        <v>70</v>
      </c>
      <c r="F896" t="s">
        <v>70</v>
      </c>
      <c r="G896" t="s">
        <v>11</v>
      </c>
      <c r="H896" t="s">
        <v>41</v>
      </c>
      <c r="I896" s="1">
        <v>25</v>
      </c>
      <c r="J896" s="1" t="str">
        <f t="shared" si="140"/>
        <v>21- 25</v>
      </c>
      <c r="K896" s="1">
        <v>2.7</v>
      </c>
      <c r="L896" s="1">
        <v>75</v>
      </c>
      <c r="M896" s="1">
        <f t="shared" si="141"/>
        <v>75</v>
      </c>
      <c r="N896" s="1">
        <f t="shared" si="150"/>
        <v>75</v>
      </c>
      <c r="O896" t="s">
        <v>1054</v>
      </c>
      <c r="P896" s="3">
        <f>[2]Sheet1!K896/100</f>
        <v>0.78</v>
      </c>
    </row>
    <row r="897" spans="1:16" x14ac:dyDescent="0.35">
      <c r="A897" t="s">
        <v>947</v>
      </c>
      <c r="B897" t="str">
        <f>TRIM([1]Sheet1!AD897)</f>
        <v>Anthony Hernandez</v>
      </c>
      <c r="C897" t="str">
        <f>IF(UPPER(LEFT([1]Sheet1!W897,1))="F","FEMALE","MALE")</f>
        <v>MALE</v>
      </c>
      <c r="D897">
        <v>46</v>
      </c>
      <c r="E897" t="s">
        <v>70</v>
      </c>
      <c r="F897" t="s">
        <v>70</v>
      </c>
      <c r="G897" t="s">
        <v>11</v>
      </c>
      <c r="H897" t="s">
        <v>16</v>
      </c>
      <c r="I897" s="1">
        <v>20</v>
      </c>
      <c r="J897" s="1" t="str">
        <f t="shared" si="140"/>
        <v xml:space="preserve"> 16-20</v>
      </c>
      <c r="K897" s="1">
        <v>1.2</v>
      </c>
      <c r="L897" s="2">
        <v>20</v>
      </c>
      <c r="M897" s="1">
        <f t="shared" si="141"/>
        <v>20</v>
      </c>
      <c r="N897" s="1">
        <f t="shared" si="150"/>
        <v>20</v>
      </c>
      <c r="O897" t="s">
        <v>1053</v>
      </c>
      <c r="P897" s="4">
        <f>[2]Sheet1!K897</f>
        <v>0.74</v>
      </c>
    </row>
    <row r="898" spans="1:16" x14ac:dyDescent="0.35">
      <c r="A898" t="s">
        <v>948</v>
      </c>
      <c r="B898" t="str">
        <f>TRIM([1]Sheet1!AD898)</f>
        <v>Erica Johnson</v>
      </c>
      <c r="C898" t="str">
        <f>IF(UPPER(LEFT([1]Sheet1!W898,1))="F","FEMALE","MALE")</f>
        <v>FEMALE</v>
      </c>
      <c r="D898">
        <v>36</v>
      </c>
      <c r="E898" t="s">
        <v>30</v>
      </c>
      <c r="F898" t="s">
        <v>30</v>
      </c>
      <c r="G898" t="s">
        <v>11</v>
      </c>
      <c r="H898" t="s">
        <v>39</v>
      </c>
      <c r="I898" s="1">
        <v>8</v>
      </c>
      <c r="J898" s="1" t="str">
        <f t="shared" ref="J898:J961" si="151">_xlfn.IFS(I898&lt;=5,"0-5",I898&lt;=10,"5-10",I898&lt;=16,"11-16",I898&lt;=20," 16-20",I898&lt;=25,"21- 25",I898&lt;=30,"26-30",I898&gt;30,"31+")</f>
        <v>5-10</v>
      </c>
      <c r="K898" s="1">
        <v>4.3</v>
      </c>
      <c r="L898" s="1">
        <v>50</v>
      </c>
      <c r="M898" s="1">
        <f t="shared" si="141"/>
        <v>50</v>
      </c>
      <c r="N898" s="1">
        <f t="shared" si="150"/>
        <v>50</v>
      </c>
      <c r="O898" t="s">
        <v>1053</v>
      </c>
      <c r="P898" s="4">
        <f>[2]Sheet1!K898</f>
        <v>0.9</v>
      </c>
    </row>
    <row r="899" spans="1:16" x14ac:dyDescent="0.35">
      <c r="A899" t="s">
        <v>949</v>
      </c>
      <c r="B899" t="str">
        <f>TRIM([1]Sheet1!AD899)</f>
        <v>Randall Barrett</v>
      </c>
      <c r="C899" t="str">
        <f>IF(UPPER(LEFT([1]Sheet1!W899,1))="F","FEMALE","MALE")</f>
        <v>MALE</v>
      </c>
      <c r="D899">
        <v>26</v>
      </c>
      <c r="E899" t="s">
        <v>21</v>
      </c>
      <c r="F899" t="s">
        <v>21</v>
      </c>
      <c r="G899" t="s">
        <v>22</v>
      </c>
      <c r="H899" t="s">
        <v>23</v>
      </c>
      <c r="I899" s="1">
        <v>6</v>
      </c>
      <c r="J899" s="1" t="str">
        <f t="shared" si="151"/>
        <v>5-10</v>
      </c>
      <c r="K899" s="1">
        <v>1.3</v>
      </c>
      <c r="L899" s="2">
        <v>40</v>
      </c>
      <c r="M899" s="1">
        <f t="shared" ref="M899:M962" si="152">L899</f>
        <v>40</v>
      </c>
      <c r="N899" s="1">
        <f t="shared" si="150"/>
        <v>40</v>
      </c>
      <c r="O899" t="s">
        <v>1053</v>
      </c>
    </row>
    <row r="900" spans="1:16" x14ac:dyDescent="0.35">
      <c r="A900" t="s">
        <v>950</v>
      </c>
      <c r="B900" t="str">
        <f>TRIM([1]Sheet1!AD900)</f>
        <v>Nathan Huff</v>
      </c>
      <c r="C900" t="str">
        <f>IF(UPPER(LEFT([1]Sheet1!W900,1))="F","FEMALE","MALE")</f>
        <v>MALE</v>
      </c>
      <c r="D900">
        <v>21</v>
      </c>
      <c r="E900" t="s">
        <v>14</v>
      </c>
      <c r="F900" t="s">
        <v>14</v>
      </c>
      <c r="G900" t="s">
        <v>15</v>
      </c>
      <c r="H900" t="s">
        <v>39</v>
      </c>
      <c r="I900" s="1">
        <v>3</v>
      </c>
      <c r="J900" s="1" t="str">
        <f t="shared" si="151"/>
        <v>0-5</v>
      </c>
      <c r="K900" s="1">
        <v>4.5999999999999996</v>
      </c>
      <c r="L900" s="1">
        <v>50</v>
      </c>
      <c r="M900" s="1">
        <f t="shared" si="152"/>
        <v>50</v>
      </c>
      <c r="N900" s="1">
        <f t="shared" si="150"/>
        <v>50</v>
      </c>
      <c r="O900" t="s">
        <v>1054</v>
      </c>
    </row>
    <row r="901" spans="1:16" x14ac:dyDescent="0.35">
      <c r="A901" t="s">
        <v>951</v>
      </c>
      <c r="B901" t="str">
        <f>TRIM([1]Sheet1!AD901)</f>
        <v>Robin Walsh</v>
      </c>
      <c r="C901" t="str">
        <f>IF(UPPER(LEFT([1]Sheet1!W901,1))="F","FEMALE","MALE")</f>
        <v>FEMALE</v>
      </c>
      <c r="D901">
        <v>39</v>
      </c>
      <c r="E901" t="s">
        <v>25</v>
      </c>
      <c r="F901" t="s">
        <v>25</v>
      </c>
      <c r="G901" t="s">
        <v>26</v>
      </c>
      <c r="H901" t="s">
        <v>39</v>
      </c>
      <c r="I901" s="1">
        <v>18</v>
      </c>
      <c r="J901" s="1" t="str">
        <f t="shared" si="151"/>
        <v xml:space="preserve"> 16-20</v>
      </c>
      <c r="K901" s="1">
        <v>2.1</v>
      </c>
      <c r="L901" s="1">
        <v>50</v>
      </c>
      <c r="M901" s="1">
        <f t="shared" si="152"/>
        <v>50</v>
      </c>
      <c r="N901" s="1">
        <f t="shared" si="150"/>
        <v>50</v>
      </c>
      <c r="O901" t="s">
        <v>1053</v>
      </c>
      <c r="P901" s="3">
        <f>[2]Sheet1!K901/100</f>
        <v>0.75</v>
      </c>
    </row>
    <row r="902" spans="1:16" x14ac:dyDescent="0.35">
      <c r="A902" t="s">
        <v>952</v>
      </c>
      <c r="B902" t="str">
        <f>TRIM([1]Sheet1!AD902)</f>
        <v>Yvonne Robinson</v>
      </c>
      <c r="C902" t="str">
        <f>IF(UPPER(LEFT([1]Sheet1!W902,1))="F","FEMALE","MALE")</f>
        <v>FEMALE</v>
      </c>
      <c r="D902">
        <v>37</v>
      </c>
      <c r="E902" t="s">
        <v>30</v>
      </c>
      <c r="F902" t="s">
        <v>30</v>
      </c>
      <c r="G902" t="s">
        <v>11</v>
      </c>
      <c r="H902" t="s">
        <v>8</v>
      </c>
      <c r="I902" s="1">
        <v>18</v>
      </c>
      <c r="J902" s="1" t="str">
        <f t="shared" si="151"/>
        <v xml:space="preserve"> 16-20</v>
      </c>
      <c r="K902" s="1">
        <v>4.5</v>
      </c>
      <c r="L902" s="1">
        <v>40</v>
      </c>
      <c r="M902" s="1">
        <f t="shared" si="152"/>
        <v>40</v>
      </c>
      <c r="N902" s="1">
        <f t="shared" si="150"/>
        <v>40</v>
      </c>
      <c r="O902" t="s">
        <v>1053</v>
      </c>
      <c r="P902" s="4">
        <f>[2]Sheet1!K902</f>
        <v>0.72</v>
      </c>
    </row>
    <row r="903" spans="1:16" x14ac:dyDescent="0.35">
      <c r="A903" t="s">
        <v>953</v>
      </c>
      <c r="B903" t="str">
        <f>TRIM([1]Sheet1!AD903)</f>
        <v>Kathleen Hendrix</v>
      </c>
      <c r="C903" t="str">
        <f>IF(UPPER(LEFT([1]Sheet1!W903,1))="F","FEMALE","MALE")</f>
        <v>FEMALE</v>
      </c>
      <c r="D903">
        <v>47</v>
      </c>
      <c r="E903" t="s">
        <v>67</v>
      </c>
      <c r="F903" t="s">
        <v>67</v>
      </c>
      <c r="G903" t="s">
        <v>68</v>
      </c>
      <c r="H903" t="s">
        <v>39</v>
      </c>
      <c r="I903" s="1">
        <v>3</v>
      </c>
      <c r="J903" s="1" t="str">
        <f t="shared" si="151"/>
        <v>0-5</v>
      </c>
      <c r="K903" s="1">
        <v>4.4000000000000004</v>
      </c>
      <c r="L903" s="1">
        <v>40</v>
      </c>
      <c r="M903" s="1">
        <f t="shared" si="152"/>
        <v>40</v>
      </c>
      <c r="N903" s="1">
        <f t="shared" si="150"/>
        <v>40</v>
      </c>
      <c r="O903" t="s">
        <v>1054</v>
      </c>
      <c r="P903" s="4">
        <f>[2]Sheet1!K903</f>
        <v>0.92</v>
      </c>
    </row>
    <row r="904" spans="1:16" x14ac:dyDescent="0.35">
      <c r="A904" t="s">
        <v>954</v>
      </c>
      <c r="B904" t="str">
        <f>TRIM([1]Sheet1!AD904)</f>
        <v>Jennifer Baker</v>
      </c>
      <c r="C904" t="str">
        <f>IF(UPPER(LEFT([1]Sheet1!W904,1))="F","FEMALE","MALE")</f>
        <v>FEMALE</v>
      </c>
      <c r="D904">
        <v>53</v>
      </c>
      <c r="E904" t="s">
        <v>67</v>
      </c>
      <c r="F904" t="s">
        <v>67</v>
      </c>
      <c r="G904" t="s">
        <v>68</v>
      </c>
      <c r="H904" t="s">
        <v>16</v>
      </c>
      <c r="I904" s="1">
        <v>32</v>
      </c>
      <c r="J904" s="1" t="str">
        <f t="shared" si="151"/>
        <v>31+</v>
      </c>
      <c r="K904" s="1">
        <v>0</v>
      </c>
      <c r="L904" s="1" t="s">
        <v>1067</v>
      </c>
      <c r="M904" s="1" t="str">
        <f t="shared" si="152"/>
        <v>USD 20</v>
      </c>
      <c r="N904" s="1">
        <v>20</v>
      </c>
      <c r="O904" t="s">
        <v>1053</v>
      </c>
    </row>
    <row r="905" spans="1:16" x14ac:dyDescent="0.35">
      <c r="A905" t="s">
        <v>955</v>
      </c>
      <c r="B905" t="str">
        <f>TRIM([1]Sheet1!AD905)</f>
        <v>Kim Martinez</v>
      </c>
      <c r="C905" t="str">
        <f>IF(UPPER(LEFT([1]Sheet1!W905,1))="F","FEMALE","MALE")</f>
        <v>FEMALE</v>
      </c>
      <c r="D905">
        <v>53</v>
      </c>
      <c r="E905" t="s">
        <v>37</v>
      </c>
      <c r="F905" t="s">
        <v>37</v>
      </c>
      <c r="G905" t="s">
        <v>38</v>
      </c>
      <c r="H905" t="s">
        <v>12</v>
      </c>
      <c r="I905" s="1">
        <v>19</v>
      </c>
      <c r="J905" s="1" t="str">
        <f t="shared" si="151"/>
        <v xml:space="preserve"> 16-20</v>
      </c>
      <c r="K905" s="1">
        <v>1.3</v>
      </c>
      <c r="L905" s="1" t="s">
        <v>1067</v>
      </c>
      <c r="M905" s="1" t="str">
        <f t="shared" si="152"/>
        <v>USD 20</v>
      </c>
      <c r="N905" s="1">
        <v>20</v>
      </c>
      <c r="O905" t="s">
        <v>1053</v>
      </c>
    </row>
    <row r="906" spans="1:16" x14ac:dyDescent="0.35">
      <c r="A906" t="s">
        <v>956</v>
      </c>
      <c r="B906" t="str">
        <f>TRIM([1]Sheet1!AD906)</f>
        <v>Andrew Little</v>
      </c>
      <c r="C906" t="str">
        <f>IF(UPPER(LEFT([1]Sheet1!W906,1))="F","FEMALE","MALE")</f>
        <v>MALE</v>
      </c>
      <c r="D906">
        <v>21</v>
      </c>
      <c r="E906" t="s">
        <v>50</v>
      </c>
      <c r="F906" t="s">
        <v>50</v>
      </c>
      <c r="G906" t="s">
        <v>51</v>
      </c>
      <c r="H906" t="s">
        <v>27</v>
      </c>
      <c r="I906" s="1">
        <v>2</v>
      </c>
      <c r="J906" s="1" t="str">
        <f t="shared" si="151"/>
        <v>0-5</v>
      </c>
      <c r="K906" s="1">
        <v>2.6</v>
      </c>
      <c r="L906" s="1">
        <v>50</v>
      </c>
      <c r="M906" s="1">
        <f t="shared" si="152"/>
        <v>50</v>
      </c>
      <c r="N906" s="1">
        <f t="shared" ref="N906:N908" si="153">M906</f>
        <v>50</v>
      </c>
      <c r="O906" t="s">
        <v>1053</v>
      </c>
      <c r="P906" s="4">
        <f>[2]Sheet1!K906</f>
        <v>0.86</v>
      </c>
    </row>
    <row r="907" spans="1:16" x14ac:dyDescent="0.35">
      <c r="A907" t="s">
        <v>957</v>
      </c>
      <c r="B907" t="str">
        <f>TRIM([1]Sheet1!AD907)</f>
        <v>Kelly Shelton</v>
      </c>
      <c r="C907" t="str">
        <f>IF(UPPER(LEFT([1]Sheet1!W907,1))="F","FEMALE","MALE")</f>
        <v>FEMALE</v>
      </c>
      <c r="D907">
        <v>35</v>
      </c>
      <c r="E907" t="s">
        <v>35</v>
      </c>
      <c r="F907" t="s">
        <v>35</v>
      </c>
      <c r="G907" t="s">
        <v>11</v>
      </c>
      <c r="H907" t="s">
        <v>8</v>
      </c>
      <c r="I907" s="1">
        <v>0</v>
      </c>
      <c r="J907" s="1" t="str">
        <f t="shared" si="151"/>
        <v>0-5</v>
      </c>
      <c r="M907" s="1">
        <f t="shared" si="152"/>
        <v>0</v>
      </c>
      <c r="N907" s="1">
        <f t="shared" si="153"/>
        <v>0</v>
      </c>
      <c r="O907" t="s">
        <v>1054</v>
      </c>
      <c r="P907" s="3">
        <f>[2]Sheet1!K907/100</f>
        <v>0.85</v>
      </c>
    </row>
    <row r="908" spans="1:16" x14ac:dyDescent="0.35">
      <c r="A908" t="s">
        <v>958</v>
      </c>
      <c r="B908" t="str">
        <f>TRIM([1]Sheet1!AD908)</f>
        <v>Steven Duncan</v>
      </c>
      <c r="C908" t="str">
        <f>IF(UPPER(LEFT([1]Sheet1!W908,1))="F","FEMALE","MALE")</f>
        <v>MALE</v>
      </c>
      <c r="D908">
        <v>31</v>
      </c>
      <c r="E908" t="s">
        <v>37</v>
      </c>
      <c r="F908" t="s">
        <v>37</v>
      </c>
      <c r="G908" t="s">
        <v>38</v>
      </c>
      <c r="H908" t="s">
        <v>62</v>
      </c>
      <c r="I908" s="1">
        <v>13</v>
      </c>
      <c r="J908" s="1" t="str">
        <f t="shared" si="151"/>
        <v>11-16</v>
      </c>
      <c r="K908" s="1">
        <v>1.2</v>
      </c>
      <c r="L908" s="2">
        <v>40</v>
      </c>
      <c r="M908" s="1">
        <f t="shared" si="152"/>
        <v>40</v>
      </c>
      <c r="N908" s="1">
        <f t="shared" si="153"/>
        <v>40</v>
      </c>
      <c r="O908" t="s">
        <v>1053</v>
      </c>
      <c r="P908" s="3">
        <f>[2]Sheet1!K908/100</f>
        <v>0.62</v>
      </c>
    </row>
    <row r="909" spans="1:16" x14ac:dyDescent="0.35">
      <c r="A909" t="s">
        <v>959</v>
      </c>
      <c r="B909" t="str">
        <f>TRIM([1]Sheet1!AD909)</f>
        <v>Kristen Haney</v>
      </c>
      <c r="C909" t="str">
        <f>IF(UPPER(LEFT([1]Sheet1!W909,1))="F","FEMALE","MALE")</f>
        <v>FEMALE</v>
      </c>
      <c r="D909">
        <v>55</v>
      </c>
      <c r="E909" t="s">
        <v>60</v>
      </c>
      <c r="F909" t="s">
        <v>60</v>
      </c>
      <c r="G909" t="s">
        <v>61</v>
      </c>
      <c r="H909" t="s">
        <v>23</v>
      </c>
      <c r="I909" s="1">
        <v>2</v>
      </c>
      <c r="J909" s="1" t="str">
        <f t="shared" si="151"/>
        <v>0-5</v>
      </c>
      <c r="K909" s="1">
        <v>3.1</v>
      </c>
      <c r="L909" s="1" t="s">
        <v>1066</v>
      </c>
      <c r="M909" s="1" t="str">
        <f t="shared" si="152"/>
        <v>USD 30</v>
      </c>
      <c r="N909" s="1">
        <v>30</v>
      </c>
      <c r="O909" t="s">
        <v>1054</v>
      </c>
      <c r="P909" s="4">
        <f>[2]Sheet1!K909</f>
        <v>0.91</v>
      </c>
    </row>
    <row r="910" spans="1:16" x14ac:dyDescent="0.35">
      <c r="A910" t="s">
        <v>960</v>
      </c>
      <c r="B910" t="str">
        <f>TRIM([1]Sheet1!AD910)</f>
        <v>Kathy Reese</v>
      </c>
      <c r="C910" t="str">
        <f>IF(UPPER(LEFT([1]Sheet1!W910,1))="F","FEMALE","MALE")</f>
        <v>FEMALE</v>
      </c>
      <c r="D910">
        <v>59</v>
      </c>
      <c r="E910" t="s">
        <v>32</v>
      </c>
      <c r="F910" t="s">
        <v>32</v>
      </c>
      <c r="G910" t="s">
        <v>33</v>
      </c>
      <c r="H910" t="s">
        <v>18</v>
      </c>
      <c r="I910" s="1">
        <v>11</v>
      </c>
      <c r="J910" s="1" t="str">
        <f t="shared" si="151"/>
        <v>11-16</v>
      </c>
      <c r="K910" s="1">
        <v>2.2999999999999998</v>
      </c>
      <c r="L910" s="2">
        <v>75</v>
      </c>
      <c r="M910" s="1">
        <f t="shared" si="152"/>
        <v>75</v>
      </c>
      <c r="N910" s="1">
        <f t="shared" ref="N910:N914" si="154">M910</f>
        <v>75</v>
      </c>
      <c r="O910" t="s">
        <v>1054</v>
      </c>
      <c r="P910" s="4">
        <f>[2]Sheet1!K910</f>
        <v>0.8</v>
      </c>
    </row>
    <row r="911" spans="1:16" x14ac:dyDescent="0.35">
      <c r="A911" t="s">
        <v>961</v>
      </c>
      <c r="B911" t="str">
        <f>TRIM([1]Sheet1!AD911)</f>
        <v>Steven Murphy</v>
      </c>
      <c r="C911" t="str">
        <f>IF(UPPER(LEFT([1]Sheet1!W911,1))="F","FEMALE","MALE")</f>
        <v>MALE</v>
      </c>
      <c r="D911">
        <v>59</v>
      </c>
      <c r="E911" t="s">
        <v>74</v>
      </c>
      <c r="F911" t="s">
        <v>74</v>
      </c>
      <c r="G911" t="s">
        <v>75</v>
      </c>
      <c r="H911" t="s">
        <v>41</v>
      </c>
      <c r="I911" s="1">
        <v>17</v>
      </c>
      <c r="J911" s="1" t="str">
        <f t="shared" si="151"/>
        <v xml:space="preserve"> 16-20</v>
      </c>
      <c r="K911" s="1">
        <v>4</v>
      </c>
      <c r="L911" s="1">
        <v>100</v>
      </c>
      <c r="M911" s="1">
        <f t="shared" si="152"/>
        <v>100</v>
      </c>
      <c r="N911" s="1">
        <f t="shared" si="154"/>
        <v>100</v>
      </c>
      <c r="O911" t="s">
        <v>1053</v>
      </c>
      <c r="P911" s="4">
        <f>[2]Sheet1!K911</f>
        <v>0.72</v>
      </c>
    </row>
    <row r="912" spans="1:16" x14ac:dyDescent="0.35">
      <c r="A912" t="s">
        <v>962</v>
      </c>
      <c r="B912" t="str">
        <f>TRIM([1]Sheet1!AD912)</f>
        <v>William Hartman</v>
      </c>
      <c r="C912" t="str">
        <f>IF(UPPER(LEFT([1]Sheet1!W912,1))="F","FEMALE","MALE")</f>
        <v>MALE</v>
      </c>
      <c r="D912">
        <v>47</v>
      </c>
      <c r="E912" t="s">
        <v>50</v>
      </c>
      <c r="F912" t="s">
        <v>50</v>
      </c>
      <c r="G912" t="s">
        <v>51</v>
      </c>
      <c r="H912" t="s">
        <v>8</v>
      </c>
      <c r="I912" s="1">
        <v>10</v>
      </c>
      <c r="J912" s="1" t="str">
        <f t="shared" si="151"/>
        <v>5-10</v>
      </c>
      <c r="K912" s="1">
        <v>1.9</v>
      </c>
      <c r="L912" s="2">
        <v>75</v>
      </c>
      <c r="M912" s="1">
        <f t="shared" si="152"/>
        <v>75</v>
      </c>
      <c r="N912" s="1">
        <f t="shared" si="154"/>
        <v>75</v>
      </c>
    </row>
    <row r="913" spans="1:16" x14ac:dyDescent="0.35">
      <c r="A913" t="s">
        <v>963</v>
      </c>
      <c r="B913" t="str">
        <f>TRIM([1]Sheet1!AD913)</f>
        <v>Sonya Haley</v>
      </c>
      <c r="C913" t="str">
        <f>IF(UPPER(LEFT([1]Sheet1!W913,1))="F","FEMALE","MALE")</f>
        <v>FEMALE</v>
      </c>
      <c r="D913">
        <v>53</v>
      </c>
      <c r="E913" t="s">
        <v>85</v>
      </c>
      <c r="F913" t="s">
        <v>85</v>
      </c>
      <c r="G913" t="s">
        <v>86</v>
      </c>
      <c r="H913" t="s">
        <v>62</v>
      </c>
      <c r="I913" s="1">
        <v>26</v>
      </c>
      <c r="J913" s="1" t="str">
        <f t="shared" si="151"/>
        <v>26-30</v>
      </c>
      <c r="K913" s="1">
        <v>2.4</v>
      </c>
      <c r="L913" s="1">
        <v>75</v>
      </c>
      <c r="M913" s="1">
        <f t="shared" si="152"/>
        <v>75</v>
      </c>
      <c r="N913" s="1">
        <f t="shared" si="154"/>
        <v>75</v>
      </c>
      <c r="O913" t="s">
        <v>1054</v>
      </c>
    </row>
    <row r="914" spans="1:16" x14ac:dyDescent="0.35">
      <c r="A914" t="s">
        <v>964</v>
      </c>
      <c r="B914" t="str">
        <f>TRIM([1]Sheet1!AD914)</f>
        <v>Robert Evans</v>
      </c>
      <c r="C914" t="str">
        <f>IF(UPPER(LEFT([1]Sheet1!W914,1))="F","FEMALE","MALE")</f>
        <v>MALE</v>
      </c>
      <c r="D914">
        <v>49</v>
      </c>
      <c r="E914" t="s">
        <v>85</v>
      </c>
      <c r="F914" t="s">
        <v>85</v>
      </c>
      <c r="G914" t="s">
        <v>86</v>
      </c>
      <c r="H914" t="s">
        <v>27</v>
      </c>
      <c r="J914" s="1" t="str">
        <f t="shared" si="151"/>
        <v>0-5</v>
      </c>
      <c r="L914" s="2">
        <v>30</v>
      </c>
      <c r="M914" s="1">
        <f t="shared" si="152"/>
        <v>30</v>
      </c>
      <c r="N914" s="1">
        <f t="shared" si="154"/>
        <v>30</v>
      </c>
      <c r="O914" t="s">
        <v>1054</v>
      </c>
      <c r="P914" s="4">
        <f>[2]Sheet1!K914</f>
        <v>0.74</v>
      </c>
    </row>
    <row r="915" spans="1:16" x14ac:dyDescent="0.35">
      <c r="A915" t="s">
        <v>965</v>
      </c>
      <c r="B915" t="str">
        <f>TRIM([1]Sheet1!AD915)</f>
        <v>Patricia Richardson</v>
      </c>
      <c r="C915" t="str">
        <f>IF(UPPER(LEFT([1]Sheet1!W915,1))="F","FEMALE","MALE")</f>
        <v>FEMALE</v>
      </c>
      <c r="D915">
        <v>50</v>
      </c>
      <c r="E915" t="s">
        <v>85</v>
      </c>
      <c r="F915" t="s">
        <v>85</v>
      </c>
      <c r="G915" t="s">
        <v>86</v>
      </c>
      <c r="H915" t="s">
        <v>12</v>
      </c>
      <c r="I915" s="1">
        <v>8</v>
      </c>
      <c r="J915" s="1" t="str">
        <f t="shared" si="151"/>
        <v>5-10</v>
      </c>
      <c r="K915" s="1">
        <v>3.7</v>
      </c>
      <c r="L915" s="1" t="s">
        <v>1065</v>
      </c>
      <c r="M915" s="1" t="str">
        <f t="shared" si="152"/>
        <v>USD 50</v>
      </c>
      <c r="N915" s="1">
        <v>50</v>
      </c>
      <c r="O915" t="s">
        <v>1054</v>
      </c>
      <c r="P915" s="4">
        <f>[2]Sheet1!K915</f>
        <v>0.82</v>
      </c>
    </row>
    <row r="916" spans="1:16" x14ac:dyDescent="0.35">
      <c r="A916" t="s">
        <v>966</v>
      </c>
      <c r="B916" t="str">
        <f>TRIM([1]Sheet1!AD916)</f>
        <v>Carolyn Lopez</v>
      </c>
      <c r="C916" t="str">
        <f>IF(UPPER(LEFT([1]Sheet1!W916,1))="F","FEMALE","MALE")</f>
        <v>FEMALE</v>
      </c>
      <c r="D916">
        <v>59</v>
      </c>
      <c r="E916" t="s">
        <v>60</v>
      </c>
      <c r="F916" t="s">
        <v>60</v>
      </c>
      <c r="G916" t="s">
        <v>61</v>
      </c>
      <c r="H916" t="s">
        <v>62</v>
      </c>
      <c r="I916" s="1">
        <v>22</v>
      </c>
      <c r="J916" s="1" t="str">
        <f t="shared" si="151"/>
        <v>21- 25</v>
      </c>
      <c r="K916" s="1">
        <v>1.1000000000000001</v>
      </c>
      <c r="L916" s="1" t="s">
        <v>1062</v>
      </c>
      <c r="M916" s="1" t="str">
        <f t="shared" si="152"/>
        <v>USD 100</v>
      </c>
      <c r="N916" s="1">
        <v>100</v>
      </c>
      <c r="O916" t="s">
        <v>1053</v>
      </c>
      <c r="P916" s="4">
        <f>[2]Sheet1!K916</f>
        <v>0.85</v>
      </c>
    </row>
    <row r="917" spans="1:16" x14ac:dyDescent="0.35">
      <c r="A917" t="s">
        <v>967</v>
      </c>
      <c r="B917" t="str">
        <f>TRIM([1]Sheet1!AD917)</f>
        <v>Kyle Burns</v>
      </c>
      <c r="C917" t="str">
        <f>IF(UPPER(LEFT([1]Sheet1!W917,1))="F","FEMALE","MALE")</f>
        <v>MALE</v>
      </c>
      <c r="D917">
        <v>33</v>
      </c>
      <c r="E917" t="s">
        <v>32</v>
      </c>
      <c r="F917" t="s">
        <v>32</v>
      </c>
      <c r="G917" t="s">
        <v>33</v>
      </c>
      <c r="H917" t="s">
        <v>27</v>
      </c>
      <c r="I917" s="1">
        <v>8</v>
      </c>
      <c r="J917" s="1" t="str">
        <f t="shared" si="151"/>
        <v>5-10</v>
      </c>
      <c r="K917" s="1">
        <v>2.2999999999999998</v>
      </c>
      <c r="L917" s="1" t="s">
        <v>1063</v>
      </c>
      <c r="M917" s="1" t="str">
        <f t="shared" si="152"/>
        <v>USD 75</v>
      </c>
      <c r="N917" s="1">
        <v>75</v>
      </c>
      <c r="O917" t="s">
        <v>1054</v>
      </c>
      <c r="P917" s="4">
        <f>[2]Sheet1!K917</f>
        <v>0.68</v>
      </c>
    </row>
    <row r="918" spans="1:16" x14ac:dyDescent="0.35">
      <c r="A918" t="s">
        <v>968</v>
      </c>
      <c r="B918" t="str">
        <f>TRIM([1]Sheet1!AD918)</f>
        <v>Margaret Garcia</v>
      </c>
      <c r="C918" t="str">
        <f>IF(UPPER(LEFT([1]Sheet1!W918,1))="F","FEMALE","MALE")</f>
        <v>FEMALE</v>
      </c>
      <c r="D918">
        <v>45</v>
      </c>
      <c r="E918" t="s">
        <v>70</v>
      </c>
      <c r="F918" t="s">
        <v>70</v>
      </c>
      <c r="G918" t="s">
        <v>11</v>
      </c>
      <c r="H918" t="s">
        <v>18</v>
      </c>
      <c r="I918" s="1">
        <v>22</v>
      </c>
      <c r="J918" s="1" t="str">
        <f t="shared" si="151"/>
        <v>21- 25</v>
      </c>
      <c r="K918" s="1">
        <v>3.7</v>
      </c>
      <c r="L918" s="1">
        <v>40</v>
      </c>
      <c r="M918" s="1">
        <f t="shared" si="152"/>
        <v>40</v>
      </c>
      <c r="N918" s="1">
        <f t="shared" ref="N918:N927" si="155">M918</f>
        <v>40</v>
      </c>
      <c r="O918" t="s">
        <v>1054</v>
      </c>
      <c r="P918" s="4">
        <f>[2]Sheet1!K918</f>
        <v>0.99</v>
      </c>
    </row>
    <row r="919" spans="1:16" x14ac:dyDescent="0.35">
      <c r="A919" t="s">
        <v>969</v>
      </c>
      <c r="B919" t="str">
        <f>TRIM([1]Sheet1!AD919)</f>
        <v>Brittany Barker</v>
      </c>
      <c r="C919" t="str">
        <f>IF(UPPER(LEFT([1]Sheet1!W919,1))="F","FEMALE","MALE")</f>
        <v>FEMALE</v>
      </c>
      <c r="D919">
        <v>36</v>
      </c>
      <c r="E919" t="s">
        <v>6</v>
      </c>
      <c r="F919" t="s">
        <v>6</v>
      </c>
      <c r="G919" t="s">
        <v>7</v>
      </c>
      <c r="H919" t="s">
        <v>16</v>
      </c>
      <c r="I919" s="1">
        <v>14</v>
      </c>
      <c r="J919" s="1" t="str">
        <f t="shared" si="151"/>
        <v>11-16</v>
      </c>
      <c r="K919" s="1">
        <v>1.9</v>
      </c>
      <c r="L919" s="1">
        <v>30</v>
      </c>
      <c r="M919" s="1">
        <f t="shared" si="152"/>
        <v>30</v>
      </c>
      <c r="N919" s="1">
        <f t="shared" si="155"/>
        <v>30</v>
      </c>
      <c r="O919" t="s">
        <v>1053</v>
      </c>
      <c r="P919" s="4">
        <f>[2]Sheet1!K919</f>
        <v>0.62</v>
      </c>
    </row>
    <row r="920" spans="1:16" x14ac:dyDescent="0.35">
      <c r="A920" t="s">
        <v>970</v>
      </c>
      <c r="B920" t="str">
        <f>TRIM([1]Sheet1!AD920)</f>
        <v>Paul Campbell</v>
      </c>
      <c r="C920" t="str">
        <f>IF(UPPER(LEFT([1]Sheet1!W920,1))="F","FEMALE","MALE")</f>
        <v>MALE</v>
      </c>
      <c r="D920">
        <v>46</v>
      </c>
      <c r="E920" t="s">
        <v>85</v>
      </c>
      <c r="F920" t="s">
        <v>85</v>
      </c>
      <c r="G920" t="s">
        <v>86</v>
      </c>
      <c r="H920" t="s">
        <v>39</v>
      </c>
      <c r="I920" s="1">
        <v>6</v>
      </c>
      <c r="J920" s="1" t="str">
        <f t="shared" si="151"/>
        <v>5-10</v>
      </c>
      <c r="K920" s="1">
        <v>1.5</v>
      </c>
      <c r="L920" s="1">
        <v>30</v>
      </c>
      <c r="M920" s="1">
        <f t="shared" si="152"/>
        <v>30</v>
      </c>
      <c r="N920" s="1">
        <f t="shared" si="155"/>
        <v>30</v>
      </c>
      <c r="O920" t="s">
        <v>1053</v>
      </c>
    </row>
    <row r="921" spans="1:16" x14ac:dyDescent="0.35">
      <c r="A921" t="s">
        <v>971</v>
      </c>
      <c r="B921" t="str">
        <f>TRIM([1]Sheet1!AD921)</f>
        <v>Amy Morrow</v>
      </c>
      <c r="C921" t="str">
        <f>IF(UPPER(LEFT([1]Sheet1!W921,1))="F","FEMALE","MALE")</f>
        <v>FEMALE</v>
      </c>
      <c r="D921">
        <v>53</v>
      </c>
      <c r="E921" t="s">
        <v>32</v>
      </c>
      <c r="F921" t="s">
        <v>32</v>
      </c>
      <c r="G921" t="s">
        <v>33</v>
      </c>
      <c r="H921" t="s">
        <v>16</v>
      </c>
      <c r="I921" s="1">
        <v>14</v>
      </c>
      <c r="J921" s="1" t="str">
        <f t="shared" si="151"/>
        <v>11-16</v>
      </c>
      <c r="K921" s="1">
        <v>0</v>
      </c>
      <c r="L921" s="1">
        <v>30</v>
      </c>
      <c r="M921" s="1">
        <f t="shared" si="152"/>
        <v>30</v>
      </c>
      <c r="N921" s="1">
        <f t="shared" si="155"/>
        <v>30</v>
      </c>
      <c r="O921" t="s">
        <v>1053</v>
      </c>
      <c r="P921" s="4">
        <f>[2]Sheet1!K921</f>
        <v>0.83</v>
      </c>
    </row>
    <row r="922" spans="1:16" x14ac:dyDescent="0.35">
      <c r="A922" t="s">
        <v>972</v>
      </c>
      <c r="B922" t="str">
        <f>TRIM([1]Sheet1!AD922)</f>
        <v>Amy Fitzgerald</v>
      </c>
      <c r="C922" t="str">
        <f>IF(UPPER(LEFT([1]Sheet1!W922,1))="F","FEMALE","MALE")</f>
        <v>FEMALE</v>
      </c>
      <c r="D922">
        <v>24</v>
      </c>
      <c r="E922" t="s">
        <v>30</v>
      </c>
      <c r="F922" t="s">
        <v>30</v>
      </c>
      <c r="G922" t="s">
        <v>11</v>
      </c>
      <c r="H922" t="s">
        <v>18</v>
      </c>
      <c r="I922" s="1">
        <v>2</v>
      </c>
      <c r="J922" s="1" t="str">
        <f t="shared" si="151"/>
        <v>0-5</v>
      </c>
      <c r="K922" s="1">
        <v>3.6</v>
      </c>
      <c r="L922" s="1">
        <v>30</v>
      </c>
      <c r="M922" s="1">
        <f t="shared" si="152"/>
        <v>30</v>
      </c>
      <c r="N922" s="1">
        <f t="shared" si="155"/>
        <v>30</v>
      </c>
      <c r="P922" s="4">
        <f>[2]Sheet1!K922</f>
        <v>0.92</v>
      </c>
    </row>
    <row r="923" spans="1:16" x14ac:dyDescent="0.35">
      <c r="A923" t="s">
        <v>973</v>
      </c>
      <c r="B923" t="str">
        <f>TRIM([1]Sheet1!AD923)</f>
        <v>Anita Becker</v>
      </c>
      <c r="C923" t="str">
        <f>IF(UPPER(LEFT([1]Sheet1!W923,1))="F","FEMALE","MALE")</f>
        <v>FEMALE</v>
      </c>
      <c r="D923">
        <v>49</v>
      </c>
      <c r="E923" t="s">
        <v>105</v>
      </c>
      <c r="F923" t="s">
        <v>105</v>
      </c>
      <c r="G923" t="s">
        <v>38</v>
      </c>
      <c r="H923" t="s">
        <v>48</v>
      </c>
      <c r="I923" s="1">
        <v>4</v>
      </c>
      <c r="J923" s="1" t="str">
        <f t="shared" si="151"/>
        <v>0-5</v>
      </c>
      <c r="K923" s="1">
        <v>2.1</v>
      </c>
      <c r="L923" s="2">
        <v>75</v>
      </c>
      <c r="M923" s="1">
        <f t="shared" si="152"/>
        <v>75</v>
      </c>
      <c r="N923" s="1">
        <f t="shared" si="155"/>
        <v>75</v>
      </c>
      <c r="P923" s="4">
        <f>[2]Sheet1!K923</f>
        <v>0.85</v>
      </c>
    </row>
    <row r="924" spans="1:16" x14ac:dyDescent="0.35">
      <c r="A924" t="s">
        <v>974</v>
      </c>
      <c r="B924" t="str">
        <f>TRIM([1]Sheet1!AD924)</f>
        <v>Amy Brooks</v>
      </c>
      <c r="C924" t="str">
        <f>IF(UPPER(LEFT([1]Sheet1!W924,1))="F","FEMALE","MALE")</f>
        <v>FEMALE</v>
      </c>
      <c r="D924">
        <v>49</v>
      </c>
      <c r="E924" t="s">
        <v>60</v>
      </c>
      <c r="F924" t="s">
        <v>60</v>
      </c>
      <c r="G924" t="s">
        <v>61</v>
      </c>
      <c r="H924" t="s">
        <v>23</v>
      </c>
      <c r="I924" s="1">
        <v>4</v>
      </c>
      <c r="J924" s="1" t="str">
        <f t="shared" si="151"/>
        <v>0-5</v>
      </c>
      <c r="K924" s="1">
        <v>2.9</v>
      </c>
      <c r="L924" s="1">
        <v>75</v>
      </c>
      <c r="M924" s="1">
        <f t="shared" si="152"/>
        <v>75</v>
      </c>
      <c r="N924" s="1">
        <f t="shared" si="155"/>
        <v>75</v>
      </c>
      <c r="O924" t="s">
        <v>1053</v>
      </c>
    </row>
    <row r="925" spans="1:16" x14ac:dyDescent="0.35">
      <c r="A925" t="s">
        <v>975</v>
      </c>
      <c r="B925" t="str">
        <f>TRIM([1]Sheet1!AD925)</f>
        <v>Lori Marshall</v>
      </c>
      <c r="C925" t="str">
        <f>IF(UPPER(LEFT([1]Sheet1!W925,1))="F","FEMALE","MALE")</f>
        <v>FEMALE</v>
      </c>
      <c r="D925">
        <v>49</v>
      </c>
      <c r="E925" t="s">
        <v>60</v>
      </c>
      <c r="F925" t="s">
        <v>60</v>
      </c>
      <c r="G925" t="s">
        <v>61</v>
      </c>
      <c r="H925" t="s">
        <v>12</v>
      </c>
      <c r="I925" s="1">
        <v>24</v>
      </c>
      <c r="J925" s="1" t="str">
        <f t="shared" si="151"/>
        <v>21- 25</v>
      </c>
      <c r="K925" s="1">
        <v>3.6</v>
      </c>
      <c r="L925" s="1">
        <v>100</v>
      </c>
      <c r="M925" s="1">
        <f t="shared" si="152"/>
        <v>100</v>
      </c>
      <c r="N925" s="1">
        <f t="shared" si="155"/>
        <v>100</v>
      </c>
      <c r="O925" t="s">
        <v>1054</v>
      </c>
    </row>
    <row r="926" spans="1:16" x14ac:dyDescent="0.35">
      <c r="A926" t="s">
        <v>976</v>
      </c>
      <c r="B926" t="str">
        <f>TRIM([1]Sheet1!AD926)</f>
        <v>Jennifer Miller</v>
      </c>
      <c r="C926" t="str">
        <f>IF(UPPER(LEFT([1]Sheet1!W926,1))="F","FEMALE","MALE")</f>
        <v>FEMALE</v>
      </c>
      <c r="D926">
        <v>58</v>
      </c>
      <c r="E926" t="s">
        <v>57</v>
      </c>
      <c r="F926" t="s">
        <v>57</v>
      </c>
      <c r="G926" t="s">
        <v>58</v>
      </c>
      <c r="H926" t="s">
        <v>8</v>
      </c>
      <c r="I926" s="1">
        <v>29</v>
      </c>
      <c r="J926" s="1" t="str">
        <f t="shared" si="151"/>
        <v>26-30</v>
      </c>
      <c r="K926" s="1">
        <v>3.3</v>
      </c>
      <c r="L926" s="1">
        <v>30</v>
      </c>
      <c r="M926" s="1">
        <f t="shared" si="152"/>
        <v>30</v>
      </c>
      <c r="N926" s="1">
        <f t="shared" si="155"/>
        <v>30</v>
      </c>
      <c r="O926" t="s">
        <v>1054</v>
      </c>
      <c r="P926" s="4">
        <f>[2]Sheet1!K926</f>
        <v>0.89</v>
      </c>
    </row>
    <row r="927" spans="1:16" x14ac:dyDescent="0.35">
      <c r="A927" t="s">
        <v>977</v>
      </c>
      <c r="B927" t="str">
        <f>TRIM([1]Sheet1!AD927)</f>
        <v>Thomas Young</v>
      </c>
      <c r="C927" t="str">
        <f>IF(UPPER(LEFT([1]Sheet1!W927,1))="F","FEMALE","MALE")</f>
        <v>MALE</v>
      </c>
      <c r="D927">
        <v>50</v>
      </c>
      <c r="E927" t="s">
        <v>85</v>
      </c>
      <c r="F927" t="s">
        <v>85</v>
      </c>
      <c r="G927" t="s">
        <v>86</v>
      </c>
      <c r="H927" t="s">
        <v>39</v>
      </c>
      <c r="I927" s="1">
        <v>13</v>
      </c>
      <c r="J927" s="1" t="str">
        <f t="shared" si="151"/>
        <v>11-16</v>
      </c>
      <c r="K927" s="1">
        <v>2.5</v>
      </c>
      <c r="M927" s="1">
        <f t="shared" si="152"/>
        <v>0</v>
      </c>
      <c r="N927" s="1">
        <f t="shared" si="155"/>
        <v>0</v>
      </c>
      <c r="O927" t="s">
        <v>1054</v>
      </c>
      <c r="P927" s="4">
        <f>[2]Sheet1!K927</f>
        <v>0.81</v>
      </c>
    </row>
    <row r="928" spans="1:16" x14ac:dyDescent="0.35">
      <c r="A928" t="s">
        <v>978</v>
      </c>
      <c r="B928" t="str">
        <f>TRIM([1]Sheet1!AD928)</f>
        <v>Zachary Larsen</v>
      </c>
      <c r="C928" t="str">
        <f>IF(UPPER(LEFT([1]Sheet1!W928,1))="F","FEMALE","MALE")</f>
        <v>MALE</v>
      </c>
      <c r="D928">
        <v>27</v>
      </c>
      <c r="E928" t="s">
        <v>85</v>
      </c>
      <c r="F928" t="s">
        <v>85</v>
      </c>
      <c r="G928" t="s">
        <v>86</v>
      </c>
      <c r="H928" t="s">
        <v>48</v>
      </c>
      <c r="I928" s="1">
        <v>1</v>
      </c>
      <c r="J928" s="1" t="str">
        <f t="shared" si="151"/>
        <v>0-5</v>
      </c>
      <c r="K928" s="1">
        <v>3.7</v>
      </c>
      <c r="L928" s="1" t="s">
        <v>1062</v>
      </c>
      <c r="M928" s="1" t="str">
        <f t="shared" si="152"/>
        <v>USD 100</v>
      </c>
      <c r="N928" s="1">
        <v>100</v>
      </c>
      <c r="O928" t="s">
        <v>1054</v>
      </c>
      <c r="P928" s="3">
        <f>[2]Sheet1!K928/100</f>
        <v>0.61</v>
      </c>
    </row>
    <row r="929" spans="1:16" x14ac:dyDescent="0.35">
      <c r="A929" t="s">
        <v>979</v>
      </c>
      <c r="B929" t="str">
        <f>TRIM([1]Sheet1!AD929)</f>
        <v>Valerie Gutierrez</v>
      </c>
      <c r="C929" t="str">
        <f>IF(UPPER(LEFT([1]Sheet1!W929,1))="F","FEMALE","MALE")</f>
        <v>FEMALE</v>
      </c>
      <c r="D929">
        <v>20</v>
      </c>
      <c r="E929" t="s">
        <v>60</v>
      </c>
      <c r="F929" t="s">
        <v>60</v>
      </c>
      <c r="G929" t="s">
        <v>61</v>
      </c>
      <c r="H929" t="s">
        <v>62</v>
      </c>
      <c r="J929" s="1" t="str">
        <f t="shared" si="151"/>
        <v>0-5</v>
      </c>
      <c r="K929" s="1">
        <v>4.5999999999999996</v>
      </c>
      <c r="L929" s="2">
        <v>30</v>
      </c>
      <c r="M929" s="1">
        <f t="shared" si="152"/>
        <v>30</v>
      </c>
      <c r="N929" s="1">
        <f t="shared" ref="N929:N932" si="156">M929</f>
        <v>30</v>
      </c>
      <c r="O929" t="s">
        <v>1054</v>
      </c>
    </row>
    <row r="930" spans="1:16" x14ac:dyDescent="0.35">
      <c r="A930" t="s">
        <v>980</v>
      </c>
      <c r="B930" t="str">
        <f>TRIM([1]Sheet1!AD930)</f>
        <v>Daniel Parker</v>
      </c>
      <c r="C930" t="str">
        <f>IF(UPPER(LEFT([1]Sheet1!W930,1))="F","FEMALE","MALE")</f>
        <v>MALE</v>
      </c>
      <c r="D930">
        <v>52</v>
      </c>
      <c r="E930" t="s">
        <v>67</v>
      </c>
      <c r="F930" t="s">
        <v>67</v>
      </c>
      <c r="G930" t="s">
        <v>68</v>
      </c>
      <c r="H930" t="s">
        <v>8</v>
      </c>
      <c r="I930" s="1">
        <v>15</v>
      </c>
      <c r="J930" s="1" t="str">
        <f t="shared" si="151"/>
        <v>11-16</v>
      </c>
      <c r="K930" s="1">
        <v>0</v>
      </c>
      <c r="L930" s="2">
        <v>40</v>
      </c>
      <c r="M930" s="1">
        <f t="shared" si="152"/>
        <v>40</v>
      </c>
      <c r="N930" s="1">
        <f t="shared" si="156"/>
        <v>40</v>
      </c>
      <c r="O930" t="s">
        <v>1054</v>
      </c>
      <c r="P930" s="4">
        <f>[2]Sheet1!K930</f>
        <v>0.92</v>
      </c>
    </row>
    <row r="931" spans="1:16" x14ac:dyDescent="0.35">
      <c r="A931" t="s">
        <v>981</v>
      </c>
      <c r="B931" t="str">
        <f>TRIM([1]Sheet1!AD931)</f>
        <v>Nicole Bennett</v>
      </c>
      <c r="C931" t="str">
        <f>IF(UPPER(LEFT([1]Sheet1!W931,1))="F","FEMALE","MALE")</f>
        <v>FEMALE</v>
      </c>
      <c r="D931">
        <v>22</v>
      </c>
      <c r="E931" t="s">
        <v>74</v>
      </c>
      <c r="F931" t="s">
        <v>74</v>
      </c>
      <c r="G931" t="s">
        <v>75</v>
      </c>
      <c r="H931" t="s">
        <v>62</v>
      </c>
      <c r="I931" s="1">
        <v>2</v>
      </c>
      <c r="J931" s="1" t="str">
        <f t="shared" si="151"/>
        <v>0-5</v>
      </c>
      <c r="K931" s="1">
        <v>2</v>
      </c>
      <c r="L931" s="1">
        <v>30</v>
      </c>
      <c r="M931" s="1">
        <f t="shared" si="152"/>
        <v>30</v>
      </c>
      <c r="N931" s="1">
        <f t="shared" si="156"/>
        <v>30</v>
      </c>
      <c r="O931" t="s">
        <v>1053</v>
      </c>
      <c r="P931" s="4">
        <f>[2]Sheet1!K931</f>
        <v>0.96</v>
      </c>
    </row>
    <row r="932" spans="1:16" x14ac:dyDescent="0.35">
      <c r="A932" t="s">
        <v>982</v>
      </c>
      <c r="B932" t="str">
        <f>TRIM([1]Sheet1!AD932)</f>
        <v>Lauren Lowery</v>
      </c>
      <c r="C932" t="str">
        <f>IF(UPPER(LEFT([1]Sheet1!W932,1))="F","FEMALE","MALE")</f>
        <v>FEMALE</v>
      </c>
      <c r="D932">
        <v>38</v>
      </c>
      <c r="E932" t="s">
        <v>32</v>
      </c>
      <c r="F932" t="s">
        <v>32</v>
      </c>
      <c r="G932" t="s">
        <v>33</v>
      </c>
      <c r="H932" t="s">
        <v>18</v>
      </c>
      <c r="I932" s="1">
        <v>14</v>
      </c>
      <c r="J932" s="1" t="str">
        <f t="shared" si="151"/>
        <v>11-16</v>
      </c>
      <c r="K932" s="1">
        <v>1.7</v>
      </c>
      <c r="L932" s="1">
        <v>100</v>
      </c>
      <c r="M932" s="1">
        <f t="shared" si="152"/>
        <v>100</v>
      </c>
      <c r="N932" s="1">
        <f t="shared" si="156"/>
        <v>100</v>
      </c>
      <c r="O932" t="s">
        <v>1053</v>
      </c>
      <c r="P932" s="4">
        <f>[2]Sheet1!K932</f>
        <v>0.66</v>
      </c>
    </row>
    <row r="933" spans="1:16" x14ac:dyDescent="0.35">
      <c r="A933" t="s">
        <v>983</v>
      </c>
      <c r="B933" t="str">
        <f>TRIM([1]Sheet1!AD933)</f>
        <v>Alexander Woodward</v>
      </c>
      <c r="C933" t="str">
        <f>IF(UPPER(LEFT([1]Sheet1!W933,1))="F","FEMALE","MALE")</f>
        <v>MALE</v>
      </c>
      <c r="D933">
        <v>21</v>
      </c>
      <c r="E933" t="s">
        <v>70</v>
      </c>
      <c r="F933" t="s">
        <v>70</v>
      </c>
      <c r="G933" t="s">
        <v>11</v>
      </c>
      <c r="H933" t="s">
        <v>16</v>
      </c>
      <c r="I933" s="1">
        <v>0</v>
      </c>
      <c r="J933" s="1" t="str">
        <f t="shared" si="151"/>
        <v>0-5</v>
      </c>
      <c r="K933" s="1">
        <v>3</v>
      </c>
      <c r="L933" s="1" t="s">
        <v>1062</v>
      </c>
      <c r="M933" s="1" t="str">
        <f t="shared" si="152"/>
        <v>USD 100</v>
      </c>
      <c r="N933" s="1">
        <v>100</v>
      </c>
      <c r="O933" t="s">
        <v>1053</v>
      </c>
      <c r="P933" s="4">
        <f>[2]Sheet1!K933</f>
        <v>0.64</v>
      </c>
    </row>
    <row r="934" spans="1:16" x14ac:dyDescent="0.35">
      <c r="A934" t="s">
        <v>984</v>
      </c>
      <c r="B934" t="str">
        <f>TRIM([1]Sheet1!AD934)</f>
        <v>Anthony Walter</v>
      </c>
      <c r="C934" t="str">
        <f>IF(UPPER(LEFT([1]Sheet1!W934,1))="F","FEMALE","MALE")</f>
        <v>MALE</v>
      </c>
      <c r="D934">
        <v>41</v>
      </c>
      <c r="E934" t="s">
        <v>10</v>
      </c>
      <c r="F934" t="s">
        <v>10</v>
      </c>
      <c r="G934" t="s">
        <v>11</v>
      </c>
      <c r="H934" t="s">
        <v>23</v>
      </c>
      <c r="I934" s="1">
        <v>15</v>
      </c>
      <c r="J934" s="1" t="str">
        <f t="shared" si="151"/>
        <v>11-16</v>
      </c>
      <c r="K934" s="1">
        <v>3.4</v>
      </c>
      <c r="L934" s="1">
        <v>40</v>
      </c>
      <c r="M934" s="1">
        <f t="shared" si="152"/>
        <v>40</v>
      </c>
      <c r="N934" s="1">
        <f t="shared" ref="N934:N936" si="157">M934</f>
        <v>40</v>
      </c>
      <c r="O934" t="s">
        <v>1053</v>
      </c>
      <c r="P934" s="4">
        <f>[2]Sheet1!K934</f>
        <v>1</v>
      </c>
    </row>
    <row r="935" spans="1:16" x14ac:dyDescent="0.35">
      <c r="A935" t="s">
        <v>985</v>
      </c>
      <c r="B935" t="str">
        <f>TRIM([1]Sheet1!AD935)</f>
        <v>Valerie Finley</v>
      </c>
      <c r="C935" t="str">
        <f>IF(UPPER(LEFT([1]Sheet1!W935,1))="F","FEMALE","MALE")</f>
        <v>FEMALE</v>
      </c>
      <c r="D935">
        <v>33</v>
      </c>
      <c r="E935" t="s">
        <v>25</v>
      </c>
      <c r="F935" t="s">
        <v>25</v>
      </c>
      <c r="G935" t="s">
        <v>26</v>
      </c>
      <c r="H935" t="s">
        <v>8</v>
      </c>
      <c r="I935" s="1">
        <v>6</v>
      </c>
      <c r="J935" s="1" t="str">
        <f t="shared" si="151"/>
        <v>5-10</v>
      </c>
      <c r="K935" s="1">
        <v>3.2</v>
      </c>
      <c r="L935" s="1">
        <v>40</v>
      </c>
      <c r="M935" s="1">
        <f t="shared" si="152"/>
        <v>40</v>
      </c>
      <c r="N935" s="1">
        <f t="shared" si="157"/>
        <v>40</v>
      </c>
      <c r="O935" t="s">
        <v>1054</v>
      </c>
      <c r="P935" s="4">
        <f>[2]Sheet1!K935</f>
        <v>0.95</v>
      </c>
    </row>
    <row r="936" spans="1:16" x14ac:dyDescent="0.35">
      <c r="A936" t="s">
        <v>986</v>
      </c>
      <c r="B936" t="str">
        <f>TRIM([1]Sheet1!AD936)</f>
        <v>Deborah Kelley</v>
      </c>
      <c r="C936" t="str">
        <f>IF(UPPER(LEFT([1]Sheet1!W936,1))="F","FEMALE","MALE")</f>
        <v>FEMALE</v>
      </c>
      <c r="D936">
        <v>38</v>
      </c>
      <c r="E936" t="s">
        <v>99</v>
      </c>
      <c r="F936" t="s">
        <v>99</v>
      </c>
      <c r="G936" t="s">
        <v>38</v>
      </c>
      <c r="H936" t="s">
        <v>12</v>
      </c>
      <c r="I936" s="1">
        <v>11</v>
      </c>
      <c r="J936" s="1" t="str">
        <f t="shared" si="151"/>
        <v>11-16</v>
      </c>
      <c r="K936" s="1">
        <v>2.8</v>
      </c>
      <c r="M936" s="1">
        <f t="shared" si="152"/>
        <v>0</v>
      </c>
      <c r="N936" s="1">
        <f t="shared" si="157"/>
        <v>0</v>
      </c>
      <c r="P936" s="3">
        <f>[2]Sheet1!K936/100</f>
        <v>0.91</v>
      </c>
    </row>
    <row r="937" spans="1:16" x14ac:dyDescent="0.35">
      <c r="A937" t="s">
        <v>987</v>
      </c>
      <c r="B937" t="str">
        <f>TRIM([1]Sheet1!AD937)</f>
        <v>Kristina Miller</v>
      </c>
      <c r="C937" t="str">
        <f>IF(UPPER(LEFT([1]Sheet1!W937,1))="F","FEMALE","MALE")</f>
        <v>FEMALE</v>
      </c>
      <c r="D937">
        <v>26</v>
      </c>
      <c r="E937" t="s">
        <v>67</v>
      </c>
      <c r="F937" t="s">
        <v>67</v>
      </c>
      <c r="G937" t="s">
        <v>68</v>
      </c>
      <c r="H937" t="s">
        <v>48</v>
      </c>
      <c r="I937" s="1">
        <v>8</v>
      </c>
      <c r="J937" s="1" t="str">
        <f t="shared" si="151"/>
        <v>5-10</v>
      </c>
      <c r="K937" s="1">
        <v>4.0999999999999996</v>
      </c>
      <c r="L937" s="1" t="s">
        <v>1067</v>
      </c>
      <c r="M937" s="1" t="str">
        <f t="shared" si="152"/>
        <v>USD 20</v>
      </c>
      <c r="N937" s="1">
        <v>20</v>
      </c>
      <c r="O937" t="s">
        <v>1054</v>
      </c>
      <c r="P937" s="4">
        <f>[2]Sheet1!K937</f>
        <v>0.82</v>
      </c>
    </row>
    <row r="938" spans="1:16" x14ac:dyDescent="0.35">
      <c r="A938" t="s">
        <v>988</v>
      </c>
      <c r="B938" t="str">
        <f>TRIM([1]Sheet1!AD938)</f>
        <v>Anne Hampton</v>
      </c>
      <c r="C938" t="str">
        <f>IF(UPPER(LEFT([1]Sheet1!W938,1))="F","FEMALE","MALE")</f>
        <v>FEMALE</v>
      </c>
      <c r="D938">
        <v>43</v>
      </c>
      <c r="E938" t="s">
        <v>21</v>
      </c>
      <c r="F938" t="s">
        <v>21</v>
      </c>
      <c r="G938" t="s">
        <v>22</v>
      </c>
      <c r="H938" t="s">
        <v>23</v>
      </c>
      <c r="I938" s="1">
        <v>3</v>
      </c>
      <c r="J938" s="1" t="str">
        <f t="shared" si="151"/>
        <v>0-5</v>
      </c>
      <c r="K938" s="1">
        <v>0</v>
      </c>
      <c r="L938" s="1">
        <v>20</v>
      </c>
      <c r="M938" s="1">
        <f t="shared" si="152"/>
        <v>20</v>
      </c>
      <c r="N938" s="1">
        <f t="shared" ref="N938:N939" si="158">M938</f>
        <v>20</v>
      </c>
      <c r="O938" t="s">
        <v>1054</v>
      </c>
      <c r="P938" s="4">
        <f>[2]Sheet1!K938</f>
        <v>0.95</v>
      </c>
    </row>
    <row r="939" spans="1:16" x14ac:dyDescent="0.35">
      <c r="A939" t="s">
        <v>989</v>
      </c>
      <c r="B939" t="str">
        <f>TRIM([1]Sheet1!AD939)</f>
        <v>Sandra Henry</v>
      </c>
      <c r="C939" t="str">
        <f>IF(UPPER(LEFT([1]Sheet1!W939,1))="F","FEMALE","MALE")</f>
        <v>FEMALE</v>
      </c>
      <c r="D939">
        <v>21</v>
      </c>
      <c r="E939" t="s">
        <v>6</v>
      </c>
      <c r="F939" t="s">
        <v>6</v>
      </c>
      <c r="G939" t="s">
        <v>7</v>
      </c>
      <c r="H939" t="s">
        <v>41</v>
      </c>
      <c r="I939" s="1">
        <v>0</v>
      </c>
      <c r="J939" s="1" t="str">
        <f t="shared" si="151"/>
        <v>0-5</v>
      </c>
      <c r="K939" s="1">
        <v>0</v>
      </c>
      <c r="M939" s="1">
        <f t="shared" si="152"/>
        <v>0</v>
      </c>
      <c r="N939" s="1">
        <f t="shared" si="158"/>
        <v>0</v>
      </c>
      <c r="O939" t="s">
        <v>1054</v>
      </c>
      <c r="P939" s="4">
        <f>[2]Sheet1!K939</f>
        <v>0.95</v>
      </c>
    </row>
    <row r="940" spans="1:16" x14ac:dyDescent="0.35">
      <c r="A940" t="s">
        <v>990</v>
      </c>
      <c r="B940" t="str">
        <f>TRIM([1]Sheet1!AD940)</f>
        <v>Tony Hester</v>
      </c>
      <c r="C940" t="str">
        <f>IF(UPPER(LEFT([1]Sheet1!W940,1))="F","FEMALE","MALE")</f>
        <v>MALE</v>
      </c>
      <c r="D940">
        <v>47</v>
      </c>
      <c r="E940" t="s">
        <v>60</v>
      </c>
      <c r="F940" t="s">
        <v>60</v>
      </c>
      <c r="G940" t="s">
        <v>61</v>
      </c>
      <c r="H940" t="s">
        <v>12</v>
      </c>
      <c r="I940" s="1">
        <v>7</v>
      </c>
      <c r="J940" s="1" t="str">
        <f t="shared" si="151"/>
        <v>5-10</v>
      </c>
      <c r="L940" s="1" t="s">
        <v>1066</v>
      </c>
      <c r="M940" s="1" t="str">
        <f t="shared" si="152"/>
        <v>USD 30</v>
      </c>
      <c r="N940" s="1">
        <v>30</v>
      </c>
      <c r="P940" s="3">
        <f>[2]Sheet1!K940/100</f>
        <v>0.69</v>
      </c>
    </row>
    <row r="941" spans="1:16" x14ac:dyDescent="0.35">
      <c r="A941" t="s">
        <v>991</v>
      </c>
      <c r="B941" t="str">
        <f>TRIM([1]Sheet1!AD941)</f>
        <v>Nathan Davis</v>
      </c>
      <c r="C941" t="str">
        <f>IF(UPPER(LEFT([1]Sheet1!W941,1))="F","FEMALE","MALE")</f>
        <v>MALE</v>
      </c>
      <c r="D941">
        <v>35</v>
      </c>
      <c r="E941" t="s">
        <v>105</v>
      </c>
      <c r="F941" t="s">
        <v>105</v>
      </c>
      <c r="G941" t="s">
        <v>38</v>
      </c>
      <c r="H941" t="s">
        <v>16</v>
      </c>
      <c r="I941" s="1">
        <v>6</v>
      </c>
      <c r="J941" s="1" t="str">
        <f t="shared" si="151"/>
        <v>5-10</v>
      </c>
      <c r="L941" s="1">
        <v>40</v>
      </c>
      <c r="M941" s="1">
        <f t="shared" si="152"/>
        <v>40</v>
      </c>
      <c r="N941" s="1">
        <f t="shared" ref="N941:N945" si="159">M941</f>
        <v>40</v>
      </c>
      <c r="O941" t="s">
        <v>1054</v>
      </c>
      <c r="P941" s="4">
        <f>[2]Sheet1!K941</f>
        <v>0.91</v>
      </c>
    </row>
    <row r="942" spans="1:16" x14ac:dyDescent="0.35">
      <c r="A942" t="s">
        <v>992</v>
      </c>
      <c r="B942" t="str">
        <f>TRIM([1]Sheet1!AD942)</f>
        <v>Erica Jackson</v>
      </c>
      <c r="C942" t="str">
        <f>IF(UPPER(LEFT([1]Sheet1!W942,1))="F","FEMALE","MALE")</f>
        <v>FEMALE</v>
      </c>
      <c r="D942">
        <v>37</v>
      </c>
      <c r="E942" t="s">
        <v>25</v>
      </c>
      <c r="F942" t="s">
        <v>25</v>
      </c>
      <c r="G942" t="s">
        <v>26</v>
      </c>
      <c r="H942" t="s">
        <v>12</v>
      </c>
      <c r="I942" s="1">
        <v>9</v>
      </c>
      <c r="J942" s="1" t="str">
        <f t="shared" si="151"/>
        <v>5-10</v>
      </c>
      <c r="K942" s="1">
        <v>2.7</v>
      </c>
      <c r="L942" s="2">
        <v>30</v>
      </c>
      <c r="M942" s="1">
        <f t="shared" si="152"/>
        <v>30</v>
      </c>
      <c r="N942" s="1">
        <f t="shared" si="159"/>
        <v>30</v>
      </c>
      <c r="O942" t="s">
        <v>1054</v>
      </c>
    </row>
    <row r="943" spans="1:16" x14ac:dyDescent="0.35">
      <c r="A943" t="s">
        <v>993</v>
      </c>
      <c r="B943" t="str">
        <f>TRIM([1]Sheet1!AD943)</f>
        <v>Nancy Glover</v>
      </c>
      <c r="C943" t="str">
        <f>IF(UPPER(LEFT([1]Sheet1!W943,1))="F","FEMALE","MALE")</f>
        <v>FEMALE</v>
      </c>
      <c r="D943">
        <v>38</v>
      </c>
      <c r="E943" t="s">
        <v>57</v>
      </c>
      <c r="F943" t="s">
        <v>57</v>
      </c>
      <c r="G943" t="s">
        <v>58</v>
      </c>
      <c r="H943" t="s">
        <v>23</v>
      </c>
      <c r="I943" s="1">
        <v>15</v>
      </c>
      <c r="J943" s="1" t="str">
        <f t="shared" si="151"/>
        <v>11-16</v>
      </c>
      <c r="K943" s="1">
        <v>4</v>
      </c>
      <c r="L943" s="1">
        <v>40</v>
      </c>
      <c r="M943" s="1">
        <f t="shared" si="152"/>
        <v>40</v>
      </c>
      <c r="N943" s="1">
        <f t="shared" si="159"/>
        <v>40</v>
      </c>
      <c r="P943" s="4">
        <f>[2]Sheet1!K943</f>
        <v>0.62</v>
      </c>
    </row>
    <row r="944" spans="1:16" x14ac:dyDescent="0.35">
      <c r="A944" t="s">
        <v>994</v>
      </c>
      <c r="B944" t="str">
        <f>TRIM([1]Sheet1!AD944)</f>
        <v>Richard Sanchez</v>
      </c>
      <c r="C944" t="str">
        <f>IF(UPPER(LEFT([1]Sheet1!W944,1))="F","FEMALE","MALE")</f>
        <v>MALE</v>
      </c>
      <c r="D944">
        <v>40</v>
      </c>
      <c r="E944" t="s">
        <v>70</v>
      </c>
      <c r="F944" t="s">
        <v>70</v>
      </c>
      <c r="G944" t="s">
        <v>11</v>
      </c>
      <c r="H944" t="s">
        <v>27</v>
      </c>
      <c r="I944" s="1">
        <v>20</v>
      </c>
      <c r="J944" s="1" t="str">
        <f t="shared" si="151"/>
        <v xml:space="preserve"> 16-20</v>
      </c>
      <c r="K944" s="1">
        <v>2.5</v>
      </c>
      <c r="L944" s="1">
        <v>20</v>
      </c>
      <c r="M944" s="1">
        <f t="shared" si="152"/>
        <v>20</v>
      </c>
      <c r="N944" s="1">
        <f t="shared" si="159"/>
        <v>20</v>
      </c>
      <c r="O944" t="s">
        <v>1053</v>
      </c>
      <c r="P944" s="4">
        <f>[2]Sheet1!K944</f>
        <v>0.81</v>
      </c>
    </row>
    <row r="945" spans="1:16" x14ac:dyDescent="0.35">
      <c r="A945" t="s">
        <v>995</v>
      </c>
      <c r="B945" t="str">
        <f>TRIM([1]Sheet1!AD945)</f>
        <v>Savannah Reid</v>
      </c>
      <c r="C945" t="str">
        <f>IF(UPPER(LEFT([1]Sheet1!W945,1))="F","FEMALE","MALE")</f>
        <v>FEMALE</v>
      </c>
      <c r="D945">
        <v>46</v>
      </c>
      <c r="E945" t="s">
        <v>57</v>
      </c>
      <c r="F945" t="s">
        <v>57</v>
      </c>
      <c r="G945" t="s">
        <v>58</v>
      </c>
      <c r="H945" t="s">
        <v>27</v>
      </c>
      <c r="I945" s="1">
        <v>16</v>
      </c>
      <c r="J945" s="1" t="str">
        <f t="shared" si="151"/>
        <v>11-16</v>
      </c>
      <c r="K945" s="1">
        <v>0</v>
      </c>
      <c r="L945" s="1">
        <v>75</v>
      </c>
      <c r="M945" s="1">
        <f t="shared" si="152"/>
        <v>75</v>
      </c>
      <c r="N945" s="1">
        <f t="shared" si="159"/>
        <v>75</v>
      </c>
      <c r="O945" t="s">
        <v>1053</v>
      </c>
      <c r="P945" s="4">
        <f>[2]Sheet1!K945</f>
        <v>0.94</v>
      </c>
    </row>
    <row r="946" spans="1:16" x14ac:dyDescent="0.35">
      <c r="A946" t="s">
        <v>996</v>
      </c>
      <c r="B946" t="str">
        <f>TRIM([1]Sheet1!AD946)</f>
        <v>Robert Salazar</v>
      </c>
      <c r="C946" t="str">
        <f>IF(UPPER(LEFT([1]Sheet1!W946,1))="F","FEMALE","MALE")</f>
        <v>MALE</v>
      </c>
      <c r="D946">
        <v>56</v>
      </c>
      <c r="E946" t="s">
        <v>77</v>
      </c>
      <c r="F946" t="s">
        <v>77</v>
      </c>
      <c r="G946" t="s">
        <v>78</v>
      </c>
      <c r="H946" t="s">
        <v>48</v>
      </c>
      <c r="I946" s="1">
        <v>22</v>
      </c>
      <c r="J946" s="1" t="str">
        <f t="shared" si="151"/>
        <v>21- 25</v>
      </c>
      <c r="L946" s="1" t="s">
        <v>1066</v>
      </c>
      <c r="M946" s="1" t="str">
        <f t="shared" si="152"/>
        <v>USD 30</v>
      </c>
      <c r="N946" s="1">
        <v>30</v>
      </c>
      <c r="O946" t="s">
        <v>1053</v>
      </c>
      <c r="P946" s="4">
        <f>[2]Sheet1!K946</f>
        <v>0.95</v>
      </c>
    </row>
    <row r="947" spans="1:16" x14ac:dyDescent="0.35">
      <c r="A947" t="s">
        <v>997</v>
      </c>
      <c r="B947" t="str">
        <f>TRIM([1]Sheet1!AD947)</f>
        <v>Hector Greer</v>
      </c>
      <c r="C947" t="str">
        <f>IF(UPPER(LEFT([1]Sheet1!W947,1))="F","FEMALE","MALE")</f>
        <v>MALE</v>
      </c>
      <c r="D947">
        <v>24</v>
      </c>
      <c r="E947" t="s">
        <v>32</v>
      </c>
      <c r="F947" t="s">
        <v>32</v>
      </c>
      <c r="G947" t="s">
        <v>33</v>
      </c>
      <c r="H947" t="s">
        <v>16</v>
      </c>
      <c r="I947" s="1">
        <v>2</v>
      </c>
      <c r="J947" s="1" t="str">
        <f t="shared" si="151"/>
        <v>0-5</v>
      </c>
      <c r="K947" s="1">
        <v>1.6</v>
      </c>
      <c r="M947" s="1">
        <f t="shared" si="152"/>
        <v>0</v>
      </c>
      <c r="N947" s="1">
        <f t="shared" ref="N947:N949" si="160">M947</f>
        <v>0</v>
      </c>
      <c r="O947" t="s">
        <v>1053</v>
      </c>
      <c r="P947" s="4">
        <f>[2]Sheet1!K947</f>
        <v>1</v>
      </c>
    </row>
    <row r="948" spans="1:16" x14ac:dyDescent="0.35">
      <c r="A948" t="s">
        <v>998</v>
      </c>
      <c r="B948" t="str">
        <f>TRIM([1]Sheet1!AD948)</f>
        <v>Thomas Jackson</v>
      </c>
      <c r="C948" t="str">
        <f>IF(UPPER(LEFT([1]Sheet1!W948,1))="F","FEMALE","MALE")</f>
        <v>MALE</v>
      </c>
      <c r="E948" t="s">
        <v>99</v>
      </c>
      <c r="F948" t="s">
        <v>99</v>
      </c>
      <c r="G948" t="s">
        <v>38</v>
      </c>
      <c r="H948" t="s">
        <v>23</v>
      </c>
      <c r="I948" s="1">
        <v>1</v>
      </c>
      <c r="J948" s="1" t="str">
        <f t="shared" si="151"/>
        <v>0-5</v>
      </c>
      <c r="K948" s="1">
        <v>0</v>
      </c>
      <c r="L948" s="1">
        <v>75</v>
      </c>
      <c r="M948" s="1">
        <f t="shared" si="152"/>
        <v>75</v>
      </c>
      <c r="N948" s="1">
        <f t="shared" si="160"/>
        <v>75</v>
      </c>
      <c r="O948" t="s">
        <v>1054</v>
      </c>
      <c r="P948" s="4">
        <f>[2]Sheet1!K948</f>
        <v>0.94</v>
      </c>
    </row>
    <row r="949" spans="1:16" x14ac:dyDescent="0.35">
      <c r="A949" t="s">
        <v>999</v>
      </c>
      <c r="B949" t="str">
        <f>TRIM([1]Sheet1!AD949)</f>
        <v>Tina Clark</v>
      </c>
      <c r="C949" t="str">
        <f>IF(UPPER(LEFT([1]Sheet1!W949,1))="F","FEMALE","MALE")</f>
        <v>FEMALE</v>
      </c>
      <c r="D949">
        <v>38</v>
      </c>
      <c r="E949" t="s">
        <v>32</v>
      </c>
      <c r="F949" t="s">
        <v>32</v>
      </c>
      <c r="G949" t="s">
        <v>33</v>
      </c>
      <c r="H949" t="s">
        <v>12</v>
      </c>
      <c r="I949" s="1">
        <v>8</v>
      </c>
      <c r="J949" s="1" t="str">
        <f t="shared" si="151"/>
        <v>5-10</v>
      </c>
      <c r="K949" s="1">
        <v>4</v>
      </c>
      <c r="L949" s="1">
        <v>30</v>
      </c>
      <c r="M949" s="1">
        <f t="shared" si="152"/>
        <v>30</v>
      </c>
      <c r="N949" s="1">
        <f t="shared" si="160"/>
        <v>30</v>
      </c>
      <c r="O949" t="s">
        <v>1054</v>
      </c>
      <c r="P949" s="4">
        <f>[2]Sheet1!K949</f>
        <v>0.92</v>
      </c>
    </row>
    <row r="950" spans="1:16" x14ac:dyDescent="0.35">
      <c r="A950" t="s">
        <v>1000</v>
      </c>
      <c r="B950" t="str">
        <f>TRIM([1]Sheet1!AD950)</f>
        <v>Heather Brown</v>
      </c>
      <c r="C950" t="str">
        <f>IF(UPPER(LEFT([1]Sheet1!W950,1))="F","FEMALE","MALE")</f>
        <v>FEMALE</v>
      </c>
      <c r="D950">
        <v>28</v>
      </c>
      <c r="E950" t="s">
        <v>74</v>
      </c>
      <c r="F950" t="s">
        <v>74</v>
      </c>
      <c r="G950" t="s">
        <v>75</v>
      </c>
      <c r="H950" t="s">
        <v>48</v>
      </c>
      <c r="I950" s="1">
        <v>8</v>
      </c>
      <c r="J950" s="1" t="str">
        <f t="shared" si="151"/>
        <v>5-10</v>
      </c>
      <c r="K950" s="1">
        <v>2.5</v>
      </c>
      <c r="L950" s="1" t="s">
        <v>1065</v>
      </c>
      <c r="M950" s="1" t="str">
        <f t="shared" si="152"/>
        <v>USD 50</v>
      </c>
      <c r="N950" s="1">
        <v>50</v>
      </c>
      <c r="O950" t="s">
        <v>1054</v>
      </c>
      <c r="P950" s="4">
        <f>[2]Sheet1!K950</f>
        <v>0.95</v>
      </c>
    </row>
    <row r="951" spans="1:16" x14ac:dyDescent="0.35">
      <c r="A951" t="s">
        <v>1001</v>
      </c>
      <c r="B951" t="str">
        <f>TRIM([1]Sheet1!AD951)</f>
        <v>John Weaver</v>
      </c>
      <c r="C951" t="str">
        <f>IF(UPPER(LEFT([1]Sheet1!W951,1))="F","FEMALE","MALE")</f>
        <v>MALE</v>
      </c>
      <c r="D951">
        <v>25</v>
      </c>
      <c r="E951" t="s">
        <v>57</v>
      </c>
      <c r="F951" t="s">
        <v>57</v>
      </c>
      <c r="G951" t="s">
        <v>58</v>
      </c>
      <c r="H951" t="s">
        <v>48</v>
      </c>
      <c r="I951" s="1">
        <v>7</v>
      </c>
      <c r="J951" s="1" t="str">
        <f t="shared" si="151"/>
        <v>5-10</v>
      </c>
      <c r="K951" s="1">
        <v>3.8</v>
      </c>
      <c r="L951" s="2">
        <v>20</v>
      </c>
      <c r="M951" s="1">
        <f t="shared" si="152"/>
        <v>20</v>
      </c>
      <c r="N951" s="1">
        <f t="shared" ref="N951:N956" si="161">M951</f>
        <v>20</v>
      </c>
      <c r="P951" s="4">
        <f>[2]Sheet1!K951</f>
        <v>0.97</v>
      </c>
    </row>
    <row r="952" spans="1:16" x14ac:dyDescent="0.35">
      <c r="A952" t="s">
        <v>1002</v>
      </c>
      <c r="B952" t="str">
        <f>TRIM([1]Sheet1!AD952)</f>
        <v>Bradley Harris</v>
      </c>
      <c r="C952" t="str">
        <f>IF(UPPER(LEFT([1]Sheet1!W952,1))="F","FEMALE","MALE")</f>
        <v>MALE</v>
      </c>
      <c r="D952">
        <v>41</v>
      </c>
      <c r="E952" t="s">
        <v>35</v>
      </c>
      <c r="F952" t="s">
        <v>35</v>
      </c>
      <c r="G952" t="s">
        <v>11</v>
      </c>
      <c r="H952" t="s">
        <v>48</v>
      </c>
      <c r="I952" s="1">
        <v>8</v>
      </c>
      <c r="J952" s="1" t="str">
        <f t="shared" si="151"/>
        <v>5-10</v>
      </c>
      <c r="K952" s="1">
        <v>4.8</v>
      </c>
      <c r="L952" s="1">
        <v>50</v>
      </c>
      <c r="M952" s="1">
        <f t="shared" si="152"/>
        <v>50</v>
      </c>
      <c r="N952" s="1">
        <f t="shared" si="161"/>
        <v>50</v>
      </c>
      <c r="O952" t="s">
        <v>1053</v>
      </c>
      <c r="P952" s="4">
        <f>[2]Sheet1!K952</f>
        <v>0.75</v>
      </c>
    </row>
    <row r="953" spans="1:16" x14ac:dyDescent="0.35">
      <c r="A953" t="s">
        <v>1003</v>
      </c>
      <c r="B953" t="str">
        <f>TRIM([1]Sheet1!AD953)</f>
        <v>Cassandra Macdonald</v>
      </c>
      <c r="C953" t="str">
        <f>IF(UPPER(LEFT([1]Sheet1!W953,1))="F","FEMALE","MALE")</f>
        <v>FEMALE</v>
      </c>
      <c r="D953">
        <v>45</v>
      </c>
      <c r="E953" t="s">
        <v>99</v>
      </c>
      <c r="F953" t="s">
        <v>99</v>
      </c>
      <c r="G953" t="s">
        <v>38</v>
      </c>
      <c r="H953" t="s">
        <v>27</v>
      </c>
      <c r="I953" s="1">
        <v>6</v>
      </c>
      <c r="J953" s="1" t="str">
        <f t="shared" si="151"/>
        <v>5-10</v>
      </c>
      <c r="K953" s="1">
        <v>2</v>
      </c>
      <c r="L953" s="1">
        <v>40</v>
      </c>
      <c r="M953" s="1">
        <f t="shared" si="152"/>
        <v>40</v>
      </c>
      <c r="N953" s="1">
        <f t="shared" si="161"/>
        <v>40</v>
      </c>
      <c r="O953" t="s">
        <v>1054</v>
      </c>
      <c r="P953" s="4">
        <f>[2]Sheet1!K953</f>
        <v>0.78</v>
      </c>
    </row>
    <row r="954" spans="1:16" x14ac:dyDescent="0.35">
      <c r="A954" t="s">
        <v>1004</v>
      </c>
      <c r="B954" t="str">
        <f>TRIM([1]Sheet1!AD954)</f>
        <v>Matthew White</v>
      </c>
      <c r="C954" t="str">
        <f>IF(UPPER(LEFT([1]Sheet1!W954,1))="F","FEMALE","MALE")</f>
        <v>MALE</v>
      </c>
      <c r="D954">
        <v>47</v>
      </c>
      <c r="E954" t="s">
        <v>32</v>
      </c>
      <c r="F954" t="s">
        <v>32</v>
      </c>
      <c r="G954" t="s">
        <v>33</v>
      </c>
      <c r="H954" t="s">
        <v>48</v>
      </c>
      <c r="I954" s="1">
        <v>16</v>
      </c>
      <c r="J954" s="1" t="str">
        <f t="shared" si="151"/>
        <v>11-16</v>
      </c>
      <c r="K954" s="1">
        <v>3.3</v>
      </c>
      <c r="L954" s="2">
        <v>100</v>
      </c>
      <c r="M954" s="1">
        <f t="shared" si="152"/>
        <v>100</v>
      </c>
      <c r="N954" s="1">
        <f t="shared" si="161"/>
        <v>100</v>
      </c>
      <c r="O954" t="s">
        <v>1053</v>
      </c>
      <c r="P954" s="4">
        <f>[2]Sheet1!K954</f>
        <v>0.65</v>
      </c>
    </row>
    <row r="955" spans="1:16" x14ac:dyDescent="0.35">
      <c r="A955" t="s">
        <v>1005</v>
      </c>
      <c r="B955" t="str">
        <f>TRIM([1]Sheet1!AD955)</f>
        <v>Miss Kimberly Marshall</v>
      </c>
      <c r="C955" t="str">
        <f>IF(UPPER(LEFT([1]Sheet1!W955,1))="F","FEMALE","MALE")</f>
        <v>FEMALE</v>
      </c>
      <c r="D955">
        <v>59</v>
      </c>
      <c r="E955" t="s">
        <v>35</v>
      </c>
      <c r="F955" t="s">
        <v>35</v>
      </c>
      <c r="G955" t="s">
        <v>11</v>
      </c>
      <c r="H955" t="s">
        <v>27</v>
      </c>
      <c r="I955" s="1">
        <v>40</v>
      </c>
      <c r="J955" s="1" t="str">
        <f t="shared" si="151"/>
        <v>31+</v>
      </c>
      <c r="K955" s="1">
        <v>2.5</v>
      </c>
      <c r="L955" s="1">
        <v>40</v>
      </c>
      <c r="M955" s="1">
        <f t="shared" si="152"/>
        <v>40</v>
      </c>
      <c r="N955" s="1">
        <f t="shared" si="161"/>
        <v>40</v>
      </c>
      <c r="O955" t="s">
        <v>1054</v>
      </c>
      <c r="P955" s="3">
        <f>[2]Sheet1!K955/100</f>
        <v>0.7</v>
      </c>
    </row>
    <row r="956" spans="1:16" x14ac:dyDescent="0.35">
      <c r="A956" t="s">
        <v>1006</v>
      </c>
      <c r="B956" t="str">
        <f>TRIM([1]Sheet1!AD956)</f>
        <v>Laura Thompson</v>
      </c>
      <c r="C956" t="str">
        <f>IF(UPPER(LEFT([1]Sheet1!W956,1))="F","FEMALE","MALE")</f>
        <v>FEMALE</v>
      </c>
      <c r="D956">
        <v>25</v>
      </c>
      <c r="E956" t="s">
        <v>70</v>
      </c>
      <c r="F956" t="s">
        <v>70</v>
      </c>
      <c r="G956" t="s">
        <v>11</v>
      </c>
      <c r="H956" t="s">
        <v>8</v>
      </c>
      <c r="I956" s="1">
        <v>6</v>
      </c>
      <c r="J956" s="1" t="str">
        <f t="shared" si="151"/>
        <v>5-10</v>
      </c>
      <c r="L956" s="2">
        <v>100</v>
      </c>
      <c r="M956" s="1">
        <f t="shared" si="152"/>
        <v>100</v>
      </c>
      <c r="N956" s="1">
        <f t="shared" si="161"/>
        <v>100</v>
      </c>
      <c r="O956" t="s">
        <v>1054</v>
      </c>
      <c r="P956" s="3">
        <f>[2]Sheet1!K956/100</f>
        <v>0.78</v>
      </c>
    </row>
    <row r="957" spans="1:16" x14ac:dyDescent="0.35">
      <c r="A957" t="s">
        <v>1007</v>
      </c>
      <c r="B957" t="str">
        <f>TRIM([1]Sheet1!AD957)</f>
        <v>Nathan Soto</v>
      </c>
      <c r="C957" t="str">
        <f>IF(UPPER(LEFT([1]Sheet1!W957,1))="F","FEMALE","MALE")</f>
        <v>MALE</v>
      </c>
      <c r="D957">
        <v>27</v>
      </c>
      <c r="E957" t="s">
        <v>10</v>
      </c>
      <c r="F957" t="s">
        <v>10</v>
      </c>
      <c r="G957" t="s">
        <v>11</v>
      </c>
      <c r="H957" t="s">
        <v>18</v>
      </c>
      <c r="I957" s="1">
        <v>3</v>
      </c>
      <c r="J957" s="1" t="str">
        <f t="shared" si="151"/>
        <v>0-5</v>
      </c>
      <c r="L957" s="1" t="s">
        <v>1065</v>
      </c>
      <c r="M957" s="1" t="str">
        <f t="shared" si="152"/>
        <v>USD 50</v>
      </c>
      <c r="N957" s="1">
        <v>50</v>
      </c>
      <c r="O957" t="s">
        <v>1054</v>
      </c>
      <c r="P957" s="4">
        <f>[2]Sheet1!K957</f>
        <v>0.96</v>
      </c>
    </row>
    <row r="958" spans="1:16" x14ac:dyDescent="0.35">
      <c r="A958" t="s">
        <v>1008</v>
      </c>
      <c r="B958" t="str">
        <f>TRIM([1]Sheet1!AD958)</f>
        <v>Rhonda Hines</v>
      </c>
      <c r="C958" t="str">
        <f>IF(UPPER(LEFT([1]Sheet1!W958,1))="F","FEMALE","MALE")</f>
        <v>FEMALE</v>
      </c>
      <c r="D958">
        <v>57</v>
      </c>
      <c r="E958" t="s">
        <v>10</v>
      </c>
      <c r="F958" t="s">
        <v>10</v>
      </c>
      <c r="G958" t="s">
        <v>11</v>
      </c>
      <c r="H958" t="s">
        <v>23</v>
      </c>
      <c r="I958" s="1">
        <v>5</v>
      </c>
      <c r="J958" s="1" t="str">
        <f t="shared" si="151"/>
        <v>0-5</v>
      </c>
      <c r="K958" s="1">
        <v>0</v>
      </c>
      <c r="L958" s="1" t="s">
        <v>1062</v>
      </c>
      <c r="M958" s="1" t="str">
        <f t="shared" si="152"/>
        <v>USD 100</v>
      </c>
      <c r="N958" s="1">
        <v>100</v>
      </c>
      <c r="O958" t="s">
        <v>1054</v>
      </c>
      <c r="P958" s="4">
        <f>[2]Sheet1!K958</f>
        <v>0.8</v>
      </c>
    </row>
    <row r="959" spans="1:16" x14ac:dyDescent="0.35">
      <c r="A959" t="s">
        <v>1009</v>
      </c>
      <c r="B959" t="str">
        <f>TRIM([1]Sheet1!AD959)</f>
        <v>Gabrielle Bowman</v>
      </c>
      <c r="C959" t="str">
        <f>IF(UPPER(LEFT([1]Sheet1!W959,1))="F","FEMALE","MALE")</f>
        <v>FEMALE</v>
      </c>
      <c r="D959">
        <v>34</v>
      </c>
      <c r="E959" t="s">
        <v>32</v>
      </c>
      <c r="F959" t="s">
        <v>32</v>
      </c>
      <c r="G959" t="s">
        <v>33</v>
      </c>
      <c r="H959" t="s">
        <v>39</v>
      </c>
      <c r="I959" s="1">
        <v>12</v>
      </c>
      <c r="J959" s="1" t="str">
        <f t="shared" si="151"/>
        <v>11-16</v>
      </c>
      <c r="K959" s="1">
        <v>1.6</v>
      </c>
      <c r="L959" s="2">
        <v>20</v>
      </c>
      <c r="M959" s="1">
        <f t="shared" si="152"/>
        <v>20</v>
      </c>
      <c r="N959" s="1">
        <f t="shared" ref="N959:N961" si="162">M959</f>
        <v>20</v>
      </c>
      <c r="O959" t="s">
        <v>1054</v>
      </c>
      <c r="P959" s="4">
        <f>[2]Sheet1!K959</f>
        <v>0.64</v>
      </c>
    </row>
    <row r="960" spans="1:16" x14ac:dyDescent="0.35">
      <c r="A960" t="s">
        <v>1010</v>
      </c>
      <c r="B960" t="str">
        <f>TRIM([1]Sheet1!AD960)</f>
        <v>Julian Edwards</v>
      </c>
      <c r="C960" t="str">
        <f>IF(UPPER(LEFT([1]Sheet1!W960,1))="F","FEMALE","MALE")</f>
        <v>MALE</v>
      </c>
      <c r="D960">
        <v>55</v>
      </c>
      <c r="E960" t="s">
        <v>74</v>
      </c>
      <c r="F960" t="s">
        <v>74</v>
      </c>
      <c r="G960" t="s">
        <v>75</v>
      </c>
      <c r="H960" t="s">
        <v>39</v>
      </c>
      <c r="I960" s="1">
        <v>33</v>
      </c>
      <c r="J960" s="1" t="str">
        <f t="shared" si="151"/>
        <v>31+</v>
      </c>
      <c r="K960" s="1">
        <v>0</v>
      </c>
      <c r="L960" s="1">
        <v>50</v>
      </c>
      <c r="M960" s="1">
        <f t="shared" si="152"/>
        <v>50</v>
      </c>
      <c r="N960" s="1">
        <f t="shared" si="162"/>
        <v>50</v>
      </c>
      <c r="O960" t="s">
        <v>1053</v>
      </c>
      <c r="P960" s="4">
        <f>[2]Sheet1!K960</f>
        <v>0.92</v>
      </c>
    </row>
    <row r="961" spans="1:16" x14ac:dyDescent="0.35">
      <c r="A961" t="s">
        <v>1011</v>
      </c>
      <c r="B961" t="str">
        <f>TRIM([1]Sheet1!AD961)</f>
        <v>Nicholas Scott</v>
      </c>
      <c r="C961" t="str">
        <f>IF(UPPER(LEFT([1]Sheet1!W961,1))="F","FEMALE","MALE")</f>
        <v>MALE</v>
      </c>
      <c r="D961">
        <v>21</v>
      </c>
      <c r="E961" t="s">
        <v>77</v>
      </c>
      <c r="F961" t="s">
        <v>77</v>
      </c>
      <c r="G961" t="s">
        <v>78</v>
      </c>
      <c r="H961" t="s">
        <v>8</v>
      </c>
      <c r="I961" s="1">
        <v>1</v>
      </c>
      <c r="J961" s="1" t="str">
        <f t="shared" si="151"/>
        <v>0-5</v>
      </c>
      <c r="K961" s="1">
        <v>0</v>
      </c>
      <c r="L961" s="1">
        <v>100</v>
      </c>
      <c r="M961" s="1">
        <f t="shared" si="152"/>
        <v>100</v>
      </c>
      <c r="N961" s="1">
        <f t="shared" si="162"/>
        <v>100</v>
      </c>
      <c r="O961" t="s">
        <v>1054</v>
      </c>
    </row>
    <row r="962" spans="1:16" x14ac:dyDescent="0.35">
      <c r="A962" t="s">
        <v>1012</v>
      </c>
      <c r="B962" t="str">
        <f>TRIM([1]Sheet1!AD962)</f>
        <v>Daniel Green</v>
      </c>
      <c r="C962" t="str">
        <f>IF(UPPER(LEFT([1]Sheet1!W962,1))="F","FEMALE","MALE")</f>
        <v>MALE</v>
      </c>
      <c r="D962">
        <v>53</v>
      </c>
      <c r="E962" t="s">
        <v>21</v>
      </c>
      <c r="F962" t="s">
        <v>21</v>
      </c>
      <c r="G962" t="s">
        <v>22</v>
      </c>
      <c r="H962" t="s">
        <v>48</v>
      </c>
      <c r="I962" s="1">
        <v>27</v>
      </c>
      <c r="J962" s="1" t="str">
        <f t="shared" ref="J962:J1001" si="163">_xlfn.IFS(I962&lt;=5,"0-5",I962&lt;=10,"5-10",I962&lt;=16,"11-16",I962&lt;=20," 16-20",I962&lt;=25,"21- 25",I962&lt;=30,"26-30",I962&gt;30,"31+")</f>
        <v>26-30</v>
      </c>
      <c r="K962" s="1">
        <v>4.7</v>
      </c>
      <c r="L962" s="1" t="s">
        <v>1067</v>
      </c>
      <c r="M962" s="1" t="str">
        <f t="shared" si="152"/>
        <v>USD 20</v>
      </c>
      <c r="N962" s="1">
        <v>20</v>
      </c>
      <c r="O962" t="s">
        <v>1054</v>
      </c>
      <c r="P962" s="3">
        <f>[2]Sheet1!K962/100</f>
        <v>0.71</v>
      </c>
    </row>
    <row r="963" spans="1:16" x14ac:dyDescent="0.35">
      <c r="A963" t="s">
        <v>1013</v>
      </c>
      <c r="B963" t="str">
        <f>TRIM([1]Sheet1!AD963)</f>
        <v>Catherine Johnston</v>
      </c>
      <c r="C963" t="str">
        <f>IF(UPPER(LEFT([1]Sheet1!W963,1))="F","FEMALE","MALE")</f>
        <v>FEMALE</v>
      </c>
      <c r="D963">
        <v>21</v>
      </c>
      <c r="E963" t="s">
        <v>14</v>
      </c>
      <c r="F963" t="s">
        <v>14</v>
      </c>
      <c r="G963" t="s">
        <v>15</v>
      </c>
      <c r="H963" t="s">
        <v>39</v>
      </c>
      <c r="I963" s="1">
        <v>1</v>
      </c>
      <c r="J963" s="1" t="str">
        <f t="shared" si="163"/>
        <v>0-5</v>
      </c>
      <c r="K963" s="1">
        <v>0</v>
      </c>
      <c r="L963" s="2">
        <v>100</v>
      </c>
      <c r="M963" s="1">
        <f t="shared" ref="M963:M1001" si="164">L963</f>
        <v>100</v>
      </c>
      <c r="N963" s="1">
        <f t="shared" ref="N963:N971" si="165">M963</f>
        <v>100</v>
      </c>
      <c r="O963" t="s">
        <v>1054</v>
      </c>
      <c r="P963" s="4">
        <f>[2]Sheet1!K963</f>
        <v>0.95</v>
      </c>
    </row>
    <row r="964" spans="1:16" x14ac:dyDescent="0.35">
      <c r="A964" t="s">
        <v>1014</v>
      </c>
      <c r="B964" t="str">
        <f>TRIM([1]Sheet1!AD964)</f>
        <v>Brenda Koch</v>
      </c>
      <c r="C964" t="str">
        <f>IF(UPPER(LEFT([1]Sheet1!W964,1))="F","FEMALE","MALE")</f>
        <v>FEMALE</v>
      </c>
      <c r="D964">
        <v>36</v>
      </c>
      <c r="E964" t="s">
        <v>57</v>
      </c>
      <c r="F964" t="s">
        <v>57</v>
      </c>
      <c r="G964" t="s">
        <v>58</v>
      </c>
      <c r="H964" t="s">
        <v>18</v>
      </c>
      <c r="J964" s="1" t="str">
        <f t="shared" si="163"/>
        <v>0-5</v>
      </c>
      <c r="K964" s="1">
        <v>4.0999999999999996</v>
      </c>
      <c r="L964" s="1">
        <v>20</v>
      </c>
      <c r="M964" s="1">
        <f t="shared" si="164"/>
        <v>20</v>
      </c>
      <c r="N964" s="1">
        <f t="shared" si="165"/>
        <v>20</v>
      </c>
      <c r="O964" t="s">
        <v>1053</v>
      </c>
      <c r="P964" s="4">
        <f>[2]Sheet1!K964</f>
        <v>0.86</v>
      </c>
    </row>
    <row r="965" spans="1:16" x14ac:dyDescent="0.35">
      <c r="A965" t="s">
        <v>1015</v>
      </c>
      <c r="B965" t="str">
        <f>TRIM([1]Sheet1!AD965)</f>
        <v>Robert Meza</v>
      </c>
      <c r="C965" t="str">
        <f>IF(UPPER(LEFT([1]Sheet1!W965,1))="F","FEMALE","MALE")</f>
        <v>MALE</v>
      </c>
      <c r="D965">
        <v>40</v>
      </c>
      <c r="E965" t="s">
        <v>14</v>
      </c>
      <c r="F965" t="s">
        <v>14</v>
      </c>
      <c r="G965" t="s">
        <v>15</v>
      </c>
      <c r="H965" t="s">
        <v>23</v>
      </c>
      <c r="I965" s="1">
        <v>2</v>
      </c>
      <c r="J965" s="1" t="str">
        <f t="shared" si="163"/>
        <v>0-5</v>
      </c>
      <c r="K965" s="1">
        <v>1.3</v>
      </c>
      <c r="L965" s="2">
        <v>30</v>
      </c>
      <c r="M965" s="1">
        <f t="shared" si="164"/>
        <v>30</v>
      </c>
      <c r="N965" s="1">
        <f t="shared" si="165"/>
        <v>30</v>
      </c>
      <c r="O965" t="s">
        <v>1054</v>
      </c>
      <c r="P965" s="4">
        <f>[2]Sheet1!K965</f>
        <v>0.77</v>
      </c>
    </row>
    <row r="966" spans="1:16" x14ac:dyDescent="0.35">
      <c r="A966" t="s">
        <v>1016</v>
      </c>
      <c r="B966" t="str">
        <f>TRIM([1]Sheet1!AD966)</f>
        <v>Latoya Brown</v>
      </c>
      <c r="C966" t="str">
        <f>IF(UPPER(LEFT([1]Sheet1!W966,1))="F","FEMALE","MALE")</f>
        <v>FEMALE</v>
      </c>
      <c r="D966">
        <v>59</v>
      </c>
      <c r="E966" t="s">
        <v>35</v>
      </c>
      <c r="F966" t="s">
        <v>35</v>
      </c>
      <c r="G966" t="s">
        <v>11</v>
      </c>
      <c r="H966" t="s">
        <v>39</v>
      </c>
      <c r="I966" s="1">
        <v>40</v>
      </c>
      <c r="J966" s="1" t="str">
        <f t="shared" si="163"/>
        <v>31+</v>
      </c>
      <c r="K966" s="1">
        <v>2.6</v>
      </c>
      <c r="L966" s="1">
        <v>100</v>
      </c>
      <c r="M966" s="1">
        <f t="shared" si="164"/>
        <v>100</v>
      </c>
      <c r="N966" s="1">
        <f t="shared" si="165"/>
        <v>100</v>
      </c>
    </row>
    <row r="967" spans="1:16" x14ac:dyDescent="0.35">
      <c r="A967" t="s">
        <v>1017</v>
      </c>
      <c r="B967" t="str">
        <f>TRIM([1]Sheet1!AD967)</f>
        <v>David Osborne III</v>
      </c>
      <c r="C967" t="str">
        <f>IF(UPPER(LEFT([1]Sheet1!W967,1))="F","FEMALE","MALE")</f>
        <v>MALE</v>
      </c>
      <c r="D967">
        <v>45</v>
      </c>
      <c r="E967" t="s">
        <v>21</v>
      </c>
      <c r="F967" t="s">
        <v>21</v>
      </c>
      <c r="G967" t="s">
        <v>22</v>
      </c>
      <c r="H967" t="s">
        <v>41</v>
      </c>
      <c r="I967" s="1">
        <v>4</v>
      </c>
      <c r="J967" s="1" t="str">
        <f t="shared" si="163"/>
        <v>0-5</v>
      </c>
      <c r="K967" s="1">
        <v>2.7</v>
      </c>
      <c r="L967" s="2">
        <v>20</v>
      </c>
      <c r="M967" s="1">
        <f t="shared" si="164"/>
        <v>20</v>
      </c>
      <c r="N967" s="1">
        <f t="shared" si="165"/>
        <v>20</v>
      </c>
      <c r="P967" s="4">
        <f>[2]Sheet1!K967</f>
        <v>0.72</v>
      </c>
    </row>
    <row r="968" spans="1:16" x14ac:dyDescent="0.35">
      <c r="A968" t="s">
        <v>1018</v>
      </c>
      <c r="B968" t="str">
        <f>TRIM([1]Sheet1!AD968)</f>
        <v>David Hooper</v>
      </c>
      <c r="C968" t="str">
        <f>IF(UPPER(LEFT([1]Sheet1!W968,1))="F","FEMALE","MALE")</f>
        <v>MALE</v>
      </c>
      <c r="D968">
        <v>44</v>
      </c>
      <c r="E968" t="s">
        <v>60</v>
      </c>
      <c r="F968" t="s">
        <v>60</v>
      </c>
      <c r="G968" t="s">
        <v>61</v>
      </c>
      <c r="H968" t="s">
        <v>62</v>
      </c>
      <c r="I968" s="1">
        <v>9</v>
      </c>
      <c r="J968" s="1" t="str">
        <f t="shared" si="163"/>
        <v>5-10</v>
      </c>
      <c r="L968" s="1">
        <v>40</v>
      </c>
      <c r="M968" s="1">
        <f t="shared" si="164"/>
        <v>40</v>
      </c>
      <c r="N968" s="1">
        <f t="shared" si="165"/>
        <v>40</v>
      </c>
      <c r="O968" t="s">
        <v>1053</v>
      </c>
      <c r="P968" s="4">
        <f>[2]Sheet1!K968</f>
        <v>0.7</v>
      </c>
    </row>
    <row r="969" spans="1:16" x14ac:dyDescent="0.35">
      <c r="A969" t="s">
        <v>1019</v>
      </c>
      <c r="B969" t="str">
        <f>TRIM([1]Sheet1!AD969)</f>
        <v>Sarah Miller</v>
      </c>
      <c r="C969" t="str">
        <f>IF(UPPER(LEFT([1]Sheet1!W969,1))="F","FEMALE","MALE")</f>
        <v>FEMALE</v>
      </c>
      <c r="D969">
        <v>36</v>
      </c>
      <c r="E969" t="s">
        <v>35</v>
      </c>
      <c r="F969" t="s">
        <v>35</v>
      </c>
      <c r="G969" t="s">
        <v>11</v>
      </c>
      <c r="H969" t="s">
        <v>41</v>
      </c>
      <c r="I969" s="1">
        <v>13</v>
      </c>
      <c r="J969" s="1" t="str">
        <f t="shared" si="163"/>
        <v>11-16</v>
      </c>
      <c r="K969" s="1">
        <v>3.6</v>
      </c>
      <c r="L969" s="1">
        <v>30</v>
      </c>
      <c r="M969" s="1">
        <f t="shared" si="164"/>
        <v>30</v>
      </c>
      <c r="N969" s="1">
        <f t="shared" si="165"/>
        <v>30</v>
      </c>
      <c r="O969" t="s">
        <v>1053</v>
      </c>
      <c r="P969" s="4">
        <f>[2]Sheet1!K969</f>
        <v>0.86</v>
      </c>
    </row>
    <row r="970" spans="1:16" x14ac:dyDescent="0.35">
      <c r="A970" t="s">
        <v>1020</v>
      </c>
      <c r="B970" t="str">
        <f>TRIM([1]Sheet1!AD970)</f>
        <v>Lisa Werner MD</v>
      </c>
      <c r="C970" t="str">
        <f>IF(UPPER(LEFT([1]Sheet1!W970,1))="F","FEMALE","MALE")</f>
        <v>FEMALE</v>
      </c>
      <c r="D970">
        <v>26</v>
      </c>
      <c r="E970" t="s">
        <v>50</v>
      </c>
      <c r="F970" t="s">
        <v>50</v>
      </c>
      <c r="G970" t="s">
        <v>51</v>
      </c>
      <c r="H970" t="s">
        <v>16</v>
      </c>
      <c r="I970" s="1">
        <v>1</v>
      </c>
      <c r="J970" s="1" t="str">
        <f t="shared" si="163"/>
        <v>0-5</v>
      </c>
      <c r="K970" s="1">
        <v>3</v>
      </c>
      <c r="L970" s="1">
        <v>75</v>
      </c>
      <c r="M970" s="1">
        <f t="shared" si="164"/>
        <v>75</v>
      </c>
      <c r="N970" s="1">
        <f t="shared" si="165"/>
        <v>75</v>
      </c>
      <c r="O970" t="s">
        <v>1054</v>
      </c>
    </row>
    <row r="971" spans="1:16" x14ac:dyDescent="0.35">
      <c r="A971" t="s">
        <v>1021</v>
      </c>
      <c r="B971" t="str">
        <f>TRIM([1]Sheet1!AD971)</f>
        <v>Eric Jimenez</v>
      </c>
      <c r="C971" t="str">
        <f>IF(UPPER(LEFT([1]Sheet1!W971,1))="F","FEMALE","MALE")</f>
        <v>MALE</v>
      </c>
      <c r="D971">
        <v>49</v>
      </c>
      <c r="E971" t="s">
        <v>50</v>
      </c>
      <c r="F971" t="s">
        <v>50</v>
      </c>
      <c r="G971" t="s">
        <v>51</v>
      </c>
      <c r="H971" t="s">
        <v>18</v>
      </c>
      <c r="I971" s="1">
        <v>1</v>
      </c>
      <c r="J971" s="1" t="str">
        <f t="shared" si="163"/>
        <v>0-5</v>
      </c>
      <c r="K971" s="1">
        <v>0</v>
      </c>
      <c r="M971" s="1">
        <f t="shared" si="164"/>
        <v>0</v>
      </c>
      <c r="N971" s="1">
        <f t="shared" si="165"/>
        <v>0</v>
      </c>
      <c r="O971" t="s">
        <v>1053</v>
      </c>
      <c r="P971" s="4">
        <f>[2]Sheet1!K971</f>
        <v>0.82</v>
      </c>
    </row>
    <row r="972" spans="1:16" x14ac:dyDescent="0.35">
      <c r="A972" t="s">
        <v>1022</v>
      </c>
      <c r="B972" t="str">
        <f>TRIM([1]Sheet1!AD972)</f>
        <v>Jay Bush</v>
      </c>
      <c r="C972" t="str">
        <f>IF(UPPER(LEFT([1]Sheet1!W972,1))="F","FEMALE","MALE")</f>
        <v>MALE</v>
      </c>
      <c r="D972">
        <v>29</v>
      </c>
      <c r="E972" t="s">
        <v>74</v>
      </c>
      <c r="F972" t="s">
        <v>74</v>
      </c>
      <c r="G972" t="s">
        <v>75</v>
      </c>
      <c r="H972" t="s">
        <v>12</v>
      </c>
      <c r="I972" s="1">
        <v>3</v>
      </c>
      <c r="J972" s="1" t="str">
        <f t="shared" si="163"/>
        <v>0-5</v>
      </c>
      <c r="K972" s="1">
        <v>0</v>
      </c>
      <c r="L972" s="1" t="s">
        <v>1064</v>
      </c>
      <c r="M972" s="1" t="str">
        <f t="shared" si="164"/>
        <v>USD 40</v>
      </c>
      <c r="N972" s="1">
        <v>40</v>
      </c>
      <c r="O972" t="s">
        <v>1054</v>
      </c>
      <c r="P972" s="4">
        <f>[2]Sheet1!K972</f>
        <v>0.81</v>
      </c>
    </row>
    <row r="973" spans="1:16" x14ac:dyDescent="0.35">
      <c r="A973" t="s">
        <v>1023</v>
      </c>
      <c r="B973" t="str">
        <f>TRIM([1]Sheet1!AD973)</f>
        <v>Johnny Rice</v>
      </c>
      <c r="C973" t="str">
        <f>IF(UPPER(LEFT([1]Sheet1!W973,1))="F","FEMALE","MALE")</f>
        <v>MALE</v>
      </c>
      <c r="D973">
        <v>32</v>
      </c>
      <c r="E973" t="s">
        <v>74</v>
      </c>
      <c r="F973" t="s">
        <v>74</v>
      </c>
      <c r="G973" t="s">
        <v>75</v>
      </c>
      <c r="H973" t="s">
        <v>16</v>
      </c>
      <c r="I973" s="1">
        <v>1</v>
      </c>
      <c r="J973" s="1" t="str">
        <f t="shared" si="163"/>
        <v>0-5</v>
      </c>
      <c r="K973" s="1">
        <v>3.1</v>
      </c>
      <c r="L973" s="2">
        <v>40</v>
      </c>
      <c r="M973" s="1">
        <f t="shared" si="164"/>
        <v>40</v>
      </c>
      <c r="N973" s="1">
        <f>M973</f>
        <v>40</v>
      </c>
      <c r="O973" t="s">
        <v>1054</v>
      </c>
      <c r="P973" s="4">
        <f>[2]Sheet1!K973</f>
        <v>0.76</v>
      </c>
    </row>
    <row r="974" spans="1:16" x14ac:dyDescent="0.35">
      <c r="A974" t="s">
        <v>1024</v>
      </c>
      <c r="B974" t="str">
        <f>TRIM([1]Sheet1!AD974)</f>
        <v>Matthew Strong</v>
      </c>
      <c r="C974" t="str">
        <f>IF(UPPER(LEFT([1]Sheet1!W974,1))="F","FEMALE","MALE")</f>
        <v>MALE</v>
      </c>
      <c r="D974">
        <v>24</v>
      </c>
      <c r="E974" t="s">
        <v>25</v>
      </c>
      <c r="F974" t="s">
        <v>25</v>
      </c>
      <c r="G974" t="s">
        <v>26</v>
      </c>
      <c r="H974" t="s">
        <v>8</v>
      </c>
      <c r="I974" s="1">
        <v>3</v>
      </c>
      <c r="J974" s="1" t="str">
        <f t="shared" si="163"/>
        <v>0-5</v>
      </c>
      <c r="K974" s="1">
        <v>3.9</v>
      </c>
      <c r="L974" s="1" t="s">
        <v>1066</v>
      </c>
      <c r="M974" s="1" t="str">
        <f t="shared" si="164"/>
        <v>USD 30</v>
      </c>
      <c r="N974" s="1">
        <v>30</v>
      </c>
      <c r="O974" t="s">
        <v>1053</v>
      </c>
      <c r="P974" s="4">
        <f>[2]Sheet1!K974</f>
        <v>0.9</v>
      </c>
    </row>
    <row r="975" spans="1:16" x14ac:dyDescent="0.35">
      <c r="A975" t="s">
        <v>1025</v>
      </c>
      <c r="B975" t="str">
        <f>TRIM([1]Sheet1!AD975)</f>
        <v>Mark Chandler</v>
      </c>
      <c r="C975" t="str">
        <f>IF(UPPER(LEFT([1]Sheet1!W975,1))="F","FEMALE","MALE")</f>
        <v>MALE</v>
      </c>
      <c r="D975">
        <v>35</v>
      </c>
      <c r="E975" t="s">
        <v>60</v>
      </c>
      <c r="F975" t="s">
        <v>60</v>
      </c>
      <c r="G975" t="s">
        <v>61</v>
      </c>
      <c r="H975" t="s">
        <v>48</v>
      </c>
      <c r="I975" s="1">
        <v>14</v>
      </c>
      <c r="J975" s="1" t="str">
        <f t="shared" si="163"/>
        <v>11-16</v>
      </c>
      <c r="K975" s="1">
        <v>1.6</v>
      </c>
      <c r="L975" s="1">
        <v>30</v>
      </c>
      <c r="M975" s="1">
        <f t="shared" si="164"/>
        <v>30</v>
      </c>
      <c r="N975" s="1">
        <f t="shared" ref="N975:N988" si="166">M975</f>
        <v>30</v>
      </c>
      <c r="O975" t="s">
        <v>1054</v>
      </c>
      <c r="P975" s="4">
        <f>[2]Sheet1!K975</f>
        <v>0.67</v>
      </c>
    </row>
    <row r="976" spans="1:16" x14ac:dyDescent="0.35">
      <c r="A976" t="s">
        <v>1026</v>
      </c>
      <c r="B976" t="str">
        <f>TRIM([1]Sheet1!AD976)</f>
        <v>Crystal Brown</v>
      </c>
      <c r="C976" t="str">
        <f>IF(UPPER(LEFT([1]Sheet1!W976,1))="F","FEMALE","MALE")</f>
        <v>FEMALE</v>
      </c>
      <c r="D976">
        <v>43</v>
      </c>
      <c r="E976" t="s">
        <v>105</v>
      </c>
      <c r="F976" t="s">
        <v>105</v>
      </c>
      <c r="G976" t="s">
        <v>38</v>
      </c>
      <c r="H976" t="s">
        <v>8</v>
      </c>
      <c r="I976" s="1">
        <v>2</v>
      </c>
      <c r="J976" s="1" t="str">
        <f t="shared" si="163"/>
        <v>0-5</v>
      </c>
      <c r="K976" s="1">
        <v>1.8</v>
      </c>
      <c r="M976" s="1">
        <f t="shared" si="164"/>
        <v>0</v>
      </c>
      <c r="N976" s="1">
        <f t="shared" si="166"/>
        <v>0</v>
      </c>
      <c r="O976" t="s">
        <v>1053</v>
      </c>
      <c r="P976" s="4">
        <f>[2]Sheet1!K976</f>
        <v>0.61</v>
      </c>
    </row>
    <row r="977" spans="1:16" x14ac:dyDescent="0.35">
      <c r="A977" t="s">
        <v>1027</v>
      </c>
      <c r="B977" t="str">
        <f>TRIM([1]Sheet1!AD977)</f>
        <v>Timothy Barton</v>
      </c>
      <c r="C977" t="str">
        <f>IF(UPPER(LEFT([1]Sheet1!W977,1))="F","FEMALE","MALE")</f>
        <v>MALE</v>
      </c>
      <c r="D977">
        <v>53</v>
      </c>
      <c r="E977" t="s">
        <v>60</v>
      </c>
      <c r="F977" t="s">
        <v>60</v>
      </c>
      <c r="G977" t="s">
        <v>61</v>
      </c>
      <c r="H977" t="s">
        <v>62</v>
      </c>
      <c r="I977" s="1">
        <v>27</v>
      </c>
      <c r="J977" s="1" t="str">
        <f t="shared" si="163"/>
        <v>26-30</v>
      </c>
      <c r="K977" s="1">
        <v>3.7</v>
      </c>
      <c r="L977" s="1">
        <v>100</v>
      </c>
      <c r="M977" s="1">
        <f t="shared" si="164"/>
        <v>100</v>
      </c>
      <c r="N977" s="1">
        <f t="shared" si="166"/>
        <v>100</v>
      </c>
      <c r="O977" t="s">
        <v>1053</v>
      </c>
      <c r="P977" s="4">
        <f>[2]Sheet1!K977</f>
        <v>0.73</v>
      </c>
    </row>
    <row r="978" spans="1:16" x14ac:dyDescent="0.35">
      <c r="A978" t="s">
        <v>1028</v>
      </c>
      <c r="B978" t="str">
        <f>TRIM([1]Sheet1!AD978)</f>
        <v>Lisa Hickman</v>
      </c>
      <c r="C978" t="str">
        <f>IF(UPPER(LEFT([1]Sheet1!W978,1))="F","FEMALE","MALE")</f>
        <v>FEMALE</v>
      </c>
      <c r="D978">
        <v>38</v>
      </c>
      <c r="E978" t="s">
        <v>67</v>
      </c>
      <c r="F978" t="s">
        <v>67</v>
      </c>
      <c r="G978" t="s">
        <v>68</v>
      </c>
      <c r="H978" t="s">
        <v>48</v>
      </c>
      <c r="I978" s="1">
        <v>7</v>
      </c>
      <c r="J978" s="1" t="str">
        <f t="shared" si="163"/>
        <v>5-10</v>
      </c>
      <c r="L978" s="1">
        <v>75</v>
      </c>
      <c r="M978" s="1">
        <f t="shared" si="164"/>
        <v>75</v>
      </c>
      <c r="N978" s="1">
        <f t="shared" si="166"/>
        <v>75</v>
      </c>
      <c r="O978" t="s">
        <v>1053</v>
      </c>
    </row>
    <row r="979" spans="1:16" x14ac:dyDescent="0.35">
      <c r="A979" t="s">
        <v>1029</v>
      </c>
      <c r="B979" t="str">
        <f>TRIM([1]Sheet1!AD979)</f>
        <v>Alan Mendoza</v>
      </c>
      <c r="C979" t="str">
        <f>IF(UPPER(LEFT([1]Sheet1!W979,1))="F","FEMALE","MALE")</f>
        <v>MALE</v>
      </c>
      <c r="D979">
        <v>57</v>
      </c>
      <c r="E979" t="s">
        <v>35</v>
      </c>
      <c r="F979" t="s">
        <v>35</v>
      </c>
      <c r="G979" t="s">
        <v>11</v>
      </c>
      <c r="H979" t="s">
        <v>41</v>
      </c>
      <c r="I979" s="1">
        <v>29</v>
      </c>
      <c r="J979" s="1" t="str">
        <f t="shared" si="163"/>
        <v>26-30</v>
      </c>
      <c r="K979" s="1">
        <v>4.0999999999999996</v>
      </c>
      <c r="L979" s="1">
        <v>75</v>
      </c>
      <c r="M979" s="1">
        <f t="shared" si="164"/>
        <v>75</v>
      </c>
      <c r="N979" s="1">
        <f t="shared" si="166"/>
        <v>75</v>
      </c>
      <c r="O979" t="s">
        <v>1053</v>
      </c>
      <c r="P979" s="4">
        <f>[2]Sheet1!K979</f>
        <v>0.9</v>
      </c>
    </row>
    <row r="980" spans="1:16" x14ac:dyDescent="0.35">
      <c r="A980" t="s">
        <v>1030</v>
      </c>
      <c r="B980" t="str">
        <f>TRIM([1]Sheet1!AD980)</f>
        <v>Jason Sanders</v>
      </c>
      <c r="C980" t="str">
        <f>IF(UPPER(LEFT([1]Sheet1!W980,1))="F","FEMALE","MALE")</f>
        <v>MALE</v>
      </c>
      <c r="D980">
        <v>27</v>
      </c>
      <c r="E980" t="s">
        <v>96</v>
      </c>
      <c r="F980" t="s">
        <v>96</v>
      </c>
      <c r="G980" t="s">
        <v>97</v>
      </c>
      <c r="H980" t="s">
        <v>8</v>
      </c>
      <c r="I980" s="1">
        <v>5</v>
      </c>
      <c r="J980" s="1" t="str">
        <f t="shared" si="163"/>
        <v>0-5</v>
      </c>
      <c r="K980" s="1">
        <v>1.4</v>
      </c>
      <c r="L980" s="2">
        <v>75</v>
      </c>
      <c r="M980" s="1">
        <f t="shared" si="164"/>
        <v>75</v>
      </c>
      <c r="N980" s="1">
        <f t="shared" si="166"/>
        <v>75</v>
      </c>
      <c r="O980" t="s">
        <v>1054</v>
      </c>
      <c r="P980" s="4">
        <f>[2]Sheet1!K980</f>
        <v>0.64</v>
      </c>
    </row>
    <row r="981" spans="1:16" x14ac:dyDescent="0.35">
      <c r="A981" t="s">
        <v>1031</v>
      </c>
      <c r="B981" t="str">
        <f>TRIM([1]Sheet1!AD981)</f>
        <v>Charles Dean</v>
      </c>
      <c r="C981" t="str">
        <f>IF(UPPER(LEFT([1]Sheet1!W981,1))="F","FEMALE","MALE")</f>
        <v>MALE</v>
      </c>
      <c r="D981">
        <v>43</v>
      </c>
      <c r="E981" t="s">
        <v>37</v>
      </c>
      <c r="F981" t="s">
        <v>37</v>
      </c>
      <c r="G981" t="s">
        <v>38</v>
      </c>
      <c r="H981" t="s">
        <v>18</v>
      </c>
      <c r="I981" s="1">
        <v>2</v>
      </c>
      <c r="J981" s="1" t="str">
        <f t="shared" si="163"/>
        <v>0-5</v>
      </c>
      <c r="K981" s="1">
        <v>1.1000000000000001</v>
      </c>
      <c r="L981" s="1">
        <v>100</v>
      </c>
      <c r="M981" s="1">
        <f t="shared" si="164"/>
        <v>100</v>
      </c>
      <c r="N981" s="1">
        <f t="shared" si="166"/>
        <v>100</v>
      </c>
      <c r="O981" t="s">
        <v>1054</v>
      </c>
      <c r="P981" s="4">
        <f>[2]Sheet1!K981</f>
        <v>0.63</v>
      </c>
    </row>
    <row r="982" spans="1:16" x14ac:dyDescent="0.35">
      <c r="A982" t="s">
        <v>1032</v>
      </c>
      <c r="B982" t="str">
        <f>TRIM([1]Sheet1!AD982)</f>
        <v>Blake Newton</v>
      </c>
      <c r="C982" t="str">
        <f>IF(UPPER(LEFT([1]Sheet1!W982,1))="F","FEMALE","MALE")</f>
        <v>MALE</v>
      </c>
      <c r="D982">
        <v>48</v>
      </c>
      <c r="E982" t="s">
        <v>70</v>
      </c>
      <c r="F982" t="s">
        <v>70</v>
      </c>
      <c r="G982" t="s">
        <v>11</v>
      </c>
      <c r="H982" t="s">
        <v>27</v>
      </c>
      <c r="I982" s="1">
        <v>18</v>
      </c>
      <c r="J982" s="1" t="str">
        <f t="shared" si="163"/>
        <v xml:space="preserve"> 16-20</v>
      </c>
      <c r="K982" s="1">
        <v>3.9</v>
      </c>
      <c r="L982" s="2">
        <v>40</v>
      </c>
      <c r="M982" s="1">
        <f t="shared" si="164"/>
        <v>40</v>
      </c>
      <c r="N982" s="1">
        <f t="shared" si="166"/>
        <v>40</v>
      </c>
    </row>
    <row r="983" spans="1:16" x14ac:dyDescent="0.35">
      <c r="A983" t="s">
        <v>1033</v>
      </c>
      <c r="B983" t="str">
        <f>TRIM([1]Sheet1!AD983)</f>
        <v>David Gonzalez</v>
      </c>
      <c r="C983" t="str">
        <f>IF(UPPER(LEFT([1]Sheet1!W983,1))="F","FEMALE","MALE")</f>
        <v>MALE</v>
      </c>
      <c r="D983">
        <v>26</v>
      </c>
      <c r="E983" t="s">
        <v>57</v>
      </c>
      <c r="F983" t="s">
        <v>57</v>
      </c>
      <c r="G983" t="s">
        <v>58</v>
      </c>
      <c r="H983" t="s">
        <v>41</v>
      </c>
      <c r="I983" s="1">
        <v>8</v>
      </c>
      <c r="J983" s="1" t="str">
        <f t="shared" si="163"/>
        <v>5-10</v>
      </c>
      <c r="K983" s="1">
        <v>3.6</v>
      </c>
      <c r="L983" s="1">
        <v>20</v>
      </c>
      <c r="M983" s="1">
        <f t="shared" si="164"/>
        <v>20</v>
      </c>
      <c r="N983" s="1">
        <f t="shared" si="166"/>
        <v>20</v>
      </c>
      <c r="O983" t="s">
        <v>1053</v>
      </c>
      <c r="P983" s="4">
        <f>[2]Sheet1!K983</f>
        <v>0.67</v>
      </c>
    </row>
    <row r="984" spans="1:16" x14ac:dyDescent="0.35">
      <c r="A984" t="s">
        <v>1034</v>
      </c>
      <c r="B984" t="str">
        <f>TRIM([1]Sheet1!AD984)</f>
        <v>Cindy Williams</v>
      </c>
      <c r="C984" t="str">
        <f>IF(UPPER(LEFT([1]Sheet1!W984,1))="F","FEMALE","MALE")</f>
        <v>FEMALE</v>
      </c>
      <c r="E984" t="s">
        <v>85</v>
      </c>
      <c r="F984" t="s">
        <v>85</v>
      </c>
      <c r="G984" t="s">
        <v>86</v>
      </c>
      <c r="H984" t="s">
        <v>16</v>
      </c>
      <c r="I984" s="1">
        <v>0</v>
      </c>
      <c r="J984" s="1" t="str">
        <f t="shared" si="163"/>
        <v>0-5</v>
      </c>
      <c r="K984" s="1">
        <v>0</v>
      </c>
      <c r="L984" s="2">
        <v>40</v>
      </c>
      <c r="M984" s="1">
        <f t="shared" si="164"/>
        <v>40</v>
      </c>
      <c r="N984" s="1">
        <f t="shared" si="166"/>
        <v>40</v>
      </c>
      <c r="O984" t="s">
        <v>1053</v>
      </c>
      <c r="P984" s="4">
        <f>[2]Sheet1!K984</f>
        <v>0.97</v>
      </c>
    </row>
    <row r="985" spans="1:16" x14ac:dyDescent="0.35">
      <c r="A985" t="s">
        <v>1035</v>
      </c>
      <c r="B985" t="str">
        <f>TRIM([1]Sheet1!AD985)</f>
        <v>Laura Wong DDS</v>
      </c>
      <c r="C985" t="str">
        <f>IF(UPPER(LEFT([1]Sheet1!W985,1))="F","FEMALE","MALE")</f>
        <v>FEMALE</v>
      </c>
      <c r="D985">
        <v>50</v>
      </c>
      <c r="E985" t="s">
        <v>6</v>
      </c>
      <c r="F985" t="s">
        <v>6</v>
      </c>
      <c r="G985" t="s">
        <v>7</v>
      </c>
      <c r="H985" t="s">
        <v>27</v>
      </c>
      <c r="I985" s="1">
        <v>16</v>
      </c>
      <c r="J985" s="1" t="str">
        <f t="shared" si="163"/>
        <v>11-16</v>
      </c>
      <c r="K985" s="1">
        <v>4.5</v>
      </c>
      <c r="L985" s="2">
        <v>75</v>
      </c>
      <c r="M985" s="1">
        <f t="shared" si="164"/>
        <v>75</v>
      </c>
      <c r="N985" s="1">
        <f t="shared" si="166"/>
        <v>75</v>
      </c>
      <c r="O985" t="s">
        <v>1053</v>
      </c>
      <c r="P985" s="3">
        <f>[2]Sheet1!K985/100</f>
        <v>0.69</v>
      </c>
    </row>
    <row r="986" spans="1:16" x14ac:dyDescent="0.35">
      <c r="A986" t="s">
        <v>1036</v>
      </c>
      <c r="B986" t="str">
        <f>TRIM([1]Sheet1!AD986)</f>
        <v>Robert Moran</v>
      </c>
      <c r="C986" t="str">
        <f>IF(UPPER(LEFT([1]Sheet1!W986,1))="F","FEMALE","MALE")</f>
        <v>MALE</v>
      </c>
      <c r="D986">
        <v>48</v>
      </c>
      <c r="E986" t="s">
        <v>85</v>
      </c>
      <c r="F986" t="s">
        <v>85</v>
      </c>
      <c r="G986" t="s">
        <v>86</v>
      </c>
      <c r="H986" t="s">
        <v>18</v>
      </c>
      <c r="I986" s="1">
        <v>8</v>
      </c>
      <c r="J986" s="1" t="str">
        <f t="shared" si="163"/>
        <v>5-10</v>
      </c>
      <c r="L986" s="1">
        <v>50</v>
      </c>
      <c r="M986" s="1">
        <f t="shared" si="164"/>
        <v>50</v>
      </c>
      <c r="N986" s="1">
        <f t="shared" si="166"/>
        <v>50</v>
      </c>
      <c r="O986" t="s">
        <v>1054</v>
      </c>
      <c r="P986" s="4">
        <f>[2]Sheet1!K986</f>
        <v>0.73</v>
      </c>
    </row>
    <row r="987" spans="1:16" x14ac:dyDescent="0.35">
      <c r="A987" t="s">
        <v>1037</v>
      </c>
      <c r="B987" t="str">
        <f>TRIM([1]Sheet1!AD987)</f>
        <v>Bradley Wu</v>
      </c>
      <c r="C987" t="str">
        <f>IF(UPPER(LEFT([1]Sheet1!W987,1))="F","FEMALE","MALE")</f>
        <v>MALE</v>
      </c>
      <c r="D987">
        <v>60</v>
      </c>
      <c r="E987" t="s">
        <v>105</v>
      </c>
      <c r="F987" t="s">
        <v>105</v>
      </c>
      <c r="G987" t="s">
        <v>38</v>
      </c>
      <c r="H987" t="s">
        <v>8</v>
      </c>
      <c r="I987" s="1">
        <v>39</v>
      </c>
      <c r="J987" s="1" t="str">
        <f t="shared" si="163"/>
        <v>31+</v>
      </c>
      <c r="K987" s="1">
        <v>1.4</v>
      </c>
      <c r="L987" s="1">
        <v>20</v>
      </c>
      <c r="M987" s="1">
        <f t="shared" si="164"/>
        <v>20</v>
      </c>
      <c r="N987" s="1">
        <f t="shared" si="166"/>
        <v>20</v>
      </c>
      <c r="O987" t="s">
        <v>1054</v>
      </c>
      <c r="P987" s="4">
        <f>[2]Sheet1!K987</f>
        <v>0.86</v>
      </c>
    </row>
    <row r="988" spans="1:16" x14ac:dyDescent="0.35">
      <c r="A988" t="s">
        <v>1038</v>
      </c>
      <c r="B988" t="str">
        <f>TRIM([1]Sheet1!AD988)</f>
        <v>Daniel Thomas</v>
      </c>
      <c r="C988" t="str">
        <f>IF(UPPER(LEFT([1]Sheet1!W988,1))="F","FEMALE","MALE")</f>
        <v>MALE</v>
      </c>
      <c r="D988">
        <v>26</v>
      </c>
      <c r="E988" t="s">
        <v>77</v>
      </c>
      <c r="F988" t="s">
        <v>77</v>
      </c>
      <c r="G988" t="s">
        <v>78</v>
      </c>
      <c r="H988" t="s">
        <v>62</v>
      </c>
      <c r="J988" s="1" t="str">
        <f t="shared" si="163"/>
        <v>0-5</v>
      </c>
      <c r="K988" s="1">
        <v>0</v>
      </c>
      <c r="L988" s="1">
        <v>50</v>
      </c>
      <c r="M988" s="1">
        <f t="shared" si="164"/>
        <v>50</v>
      </c>
      <c r="N988" s="1">
        <f t="shared" si="166"/>
        <v>50</v>
      </c>
      <c r="O988" t="s">
        <v>1054</v>
      </c>
      <c r="P988" s="3">
        <f>[2]Sheet1!K988/100</f>
        <v>0.81</v>
      </c>
    </row>
    <row r="989" spans="1:16" x14ac:dyDescent="0.35">
      <c r="A989" t="s">
        <v>1039</v>
      </c>
      <c r="B989" t="str">
        <f>TRIM([1]Sheet1!AD989)</f>
        <v>Michelle Peterson</v>
      </c>
      <c r="C989" t="str">
        <f>IF(UPPER(LEFT([1]Sheet1!W989,1))="F","FEMALE","MALE")</f>
        <v>FEMALE</v>
      </c>
      <c r="D989">
        <v>35</v>
      </c>
      <c r="E989" t="s">
        <v>60</v>
      </c>
      <c r="F989" t="s">
        <v>60</v>
      </c>
      <c r="G989" t="s">
        <v>61</v>
      </c>
      <c r="H989" t="s">
        <v>16</v>
      </c>
      <c r="I989" s="1">
        <v>16</v>
      </c>
      <c r="J989" s="1" t="str">
        <f t="shared" si="163"/>
        <v>11-16</v>
      </c>
      <c r="K989" s="1">
        <v>4.3</v>
      </c>
      <c r="L989" s="1" t="s">
        <v>1062</v>
      </c>
      <c r="M989" s="1" t="str">
        <f t="shared" si="164"/>
        <v>USD 100</v>
      </c>
      <c r="N989" s="1">
        <v>100</v>
      </c>
      <c r="O989" t="s">
        <v>1054</v>
      </c>
      <c r="P989" s="4">
        <f>[2]Sheet1!K989</f>
        <v>0.74</v>
      </c>
    </row>
    <row r="990" spans="1:16" x14ac:dyDescent="0.35">
      <c r="A990" t="s">
        <v>1040</v>
      </c>
      <c r="B990" t="str">
        <f>TRIM([1]Sheet1!AD990)</f>
        <v>Seth Thomas</v>
      </c>
      <c r="C990" t="str">
        <f>IF(UPPER(LEFT([1]Sheet1!W990,1))="F","FEMALE","MALE")</f>
        <v>MALE</v>
      </c>
      <c r="D990">
        <v>23</v>
      </c>
      <c r="E990" t="s">
        <v>30</v>
      </c>
      <c r="F990" t="s">
        <v>30</v>
      </c>
      <c r="G990" t="s">
        <v>11</v>
      </c>
      <c r="H990" t="s">
        <v>8</v>
      </c>
      <c r="I990" s="1">
        <v>4</v>
      </c>
      <c r="J990" s="1" t="str">
        <f t="shared" si="163"/>
        <v>0-5</v>
      </c>
      <c r="K990" s="1">
        <v>2.2000000000000002</v>
      </c>
      <c r="L990" s="2">
        <v>100</v>
      </c>
      <c r="M990" s="1">
        <f t="shared" si="164"/>
        <v>100</v>
      </c>
      <c r="N990" s="1">
        <f t="shared" ref="N990:N992" si="167">M990</f>
        <v>100</v>
      </c>
      <c r="O990" t="s">
        <v>1054</v>
      </c>
      <c r="P990" s="3">
        <f>[2]Sheet1!K990/100</f>
        <v>0.64</v>
      </c>
    </row>
    <row r="991" spans="1:16" x14ac:dyDescent="0.35">
      <c r="A991" t="s">
        <v>1041</v>
      </c>
      <c r="B991" t="str">
        <f>TRIM([1]Sheet1!AD991)</f>
        <v>Evan Ramos</v>
      </c>
      <c r="C991" t="str">
        <f>IF(UPPER(LEFT([1]Sheet1!W991,1))="F","FEMALE","MALE")</f>
        <v>MALE</v>
      </c>
      <c r="D991">
        <v>37</v>
      </c>
      <c r="E991" t="s">
        <v>10</v>
      </c>
      <c r="F991" t="s">
        <v>10</v>
      </c>
      <c r="G991" t="s">
        <v>11</v>
      </c>
      <c r="H991" t="s">
        <v>16</v>
      </c>
      <c r="I991" s="1">
        <v>4</v>
      </c>
      <c r="J991" s="1" t="str">
        <f t="shared" si="163"/>
        <v>0-5</v>
      </c>
      <c r="K991" s="1">
        <v>3.2</v>
      </c>
      <c r="L991" s="1">
        <v>75</v>
      </c>
      <c r="M991" s="1">
        <f t="shared" si="164"/>
        <v>75</v>
      </c>
      <c r="N991" s="1">
        <f t="shared" si="167"/>
        <v>75</v>
      </c>
      <c r="O991" t="s">
        <v>1053</v>
      </c>
      <c r="P991" s="4">
        <f>[2]Sheet1!K991</f>
        <v>0.76</v>
      </c>
    </row>
    <row r="992" spans="1:16" x14ac:dyDescent="0.35">
      <c r="A992" t="s">
        <v>1042</v>
      </c>
      <c r="B992" t="str">
        <f>TRIM([1]Sheet1!AD992)</f>
        <v>Michelle Solis</v>
      </c>
      <c r="C992" t="str">
        <f>IF(UPPER(LEFT([1]Sheet1!W992,1))="F","FEMALE","MALE")</f>
        <v>FEMALE</v>
      </c>
      <c r="D992">
        <v>21</v>
      </c>
      <c r="E992" t="s">
        <v>37</v>
      </c>
      <c r="F992" t="s">
        <v>37</v>
      </c>
      <c r="G992" t="s">
        <v>38</v>
      </c>
      <c r="H992" t="s">
        <v>23</v>
      </c>
      <c r="I992" s="1">
        <v>2</v>
      </c>
      <c r="J992" s="1" t="str">
        <f t="shared" si="163"/>
        <v>0-5</v>
      </c>
      <c r="K992" s="1">
        <v>3.7</v>
      </c>
      <c r="L992" s="1">
        <v>100</v>
      </c>
      <c r="M992" s="1">
        <f t="shared" si="164"/>
        <v>100</v>
      </c>
      <c r="N992" s="1">
        <f t="shared" si="167"/>
        <v>100</v>
      </c>
      <c r="O992" t="s">
        <v>1054</v>
      </c>
      <c r="P992" s="3">
        <f>[2]Sheet1!K992/100</f>
        <v>0.73</v>
      </c>
    </row>
    <row r="993" spans="1:16" x14ac:dyDescent="0.35">
      <c r="A993" t="s">
        <v>1043</v>
      </c>
      <c r="B993" t="str">
        <f>TRIM([1]Sheet1!AD993)</f>
        <v>Charlotte Taylor</v>
      </c>
      <c r="C993" t="str">
        <f>IF(UPPER(LEFT([1]Sheet1!W993,1))="F","FEMALE","MALE")</f>
        <v>FEMALE</v>
      </c>
      <c r="D993">
        <v>58</v>
      </c>
      <c r="E993" t="s">
        <v>14</v>
      </c>
      <c r="F993" t="s">
        <v>14</v>
      </c>
      <c r="G993" t="s">
        <v>15</v>
      </c>
      <c r="H993" t="s">
        <v>39</v>
      </c>
      <c r="I993" s="1">
        <v>37</v>
      </c>
      <c r="J993" s="1" t="str">
        <f t="shared" si="163"/>
        <v>31+</v>
      </c>
      <c r="K993" s="1">
        <v>4.9000000000000004</v>
      </c>
      <c r="L993" s="1" t="s">
        <v>1065</v>
      </c>
      <c r="M993" s="1" t="str">
        <f t="shared" si="164"/>
        <v>USD 50</v>
      </c>
      <c r="N993" s="1">
        <v>50</v>
      </c>
      <c r="O993" t="s">
        <v>1053</v>
      </c>
      <c r="P993" s="4">
        <f>[2]Sheet1!K993</f>
        <v>0.69</v>
      </c>
    </row>
    <row r="994" spans="1:16" x14ac:dyDescent="0.35">
      <c r="A994" t="s">
        <v>1044</v>
      </c>
      <c r="B994" t="str">
        <f>TRIM([1]Sheet1!AD994)</f>
        <v>Sandra Preston</v>
      </c>
      <c r="C994" t="str">
        <f>IF(UPPER(LEFT([1]Sheet1!W994,1))="F","FEMALE","MALE")</f>
        <v>FEMALE</v>
      </c>
      <c r="D994">
        <v>52</v>
      </c>
      <c r="E994" t="s">
        <v>25</v>
      </c>
      <c r="F994" t="s">
        <v>25</v>
      </c>
      <c r="G994" t="s">
        <v>26</v>
      </c>
      <c r="H994" t="s">
        <v>12</v>
      </c>
      <c r="I994" s="1">
        <v>32</v>
      </c>
      <c r="J994" s="1" t="str">
        <f t="shared" si="163"/>
        <v>31+</v>
      </c>
      <c r="K994" s="1">
        <v>3.2</v>
      </c>
      <c r="L994" s="2">
        <v>75</v>
      </c>
      <c r="M994" s="1">
        <f t="shared" si="164"/>
        <v>75</v>
      </c>
      <c r="N994" s="1">
        <f t="shared" ref="N994:N997" si="168">M994</f>
        <v>75</v>
      </c>
      <c r="O994" t="s">
        <v>1053</v>
      </c>
      <c r="P994" s="4">
        <f>[2]Sheet1!K994</f>
        <v>0.79</v>
      </c>
    </row>
    <row r="995" spans="1:16" x14ac:dyDescent="0.35">
      <c r="A995" t="s">
        <v>1045</v>
      </c>
      <c r="B995" t="str">
        <f>TRIM([1]Sheet1!AD995)</f>
        <v>Jim Weiss</v>
      </c>
      <c r="C995" t="str">
        <f>IF(UPPER(LEFT([1]Sheet1!W995,1))="F","FEMALE","MALE")</f>
        <v>MALE</v>
      </c>
      <c r="D995">
        <v>46</v>
      </c>
      <c r="E995" t="s">
        <v>67</v>
      </c>
      <c r="F995" t="s">
        <v>67</v>
      </c>
      <c r="G995" t="s">
        <v>68</v>
      </c>
      <c r="H995" t="s">
        <v>12</v>
      </c>
      <c r="I995" s="1">
        <v>8</v>
      </c>
      <c r="J995" s="1" t="str">
        <f t="shared" si="163"/>
        <v>5-10</v>
      </c>
      <c r="K995" s="1">
        <v>2.2000000000000002</v>
      </c>
      <c r="L995" s="1">
        <v>20</v>
      </c>
      <c r="M995" s="1">
        <f t="shared" si="164"/>
        <v>20</v>
      </c>
      <c r="N995" s="1">
        <f t="shared" si="168"/>
        <v>20</v>
      </c>
      <c r="P995" s="3">
        <f>[2]Sheet1!K995/100</f>
        <v>0.89</v>
      </c>
    </row>
    <row r="996" spans="1:16" x14ac:dyDescent="0.35">
      <c r="A996" t="s">
        <v>1046</v>
      </c>
      <c r="B996" t="str">
        <f>TRIM([1]Sheet1!AD996)</f>
        <v>Jennifer Hinton</v>
      </c>
      <c r="C996" t="str">
        <f>IF(UPPER(LEFT([1]Sheet1!W996,1))="F","FEMALE","MALE")</f>
        <v>FEMALE</v>
      </c>
      <c r="D996">
        <v>34</v>
      </c>
      <c r="E996" t="s">
        <v>85</v>
      </c>
      <c r="F996" t="s">
        <v>85</v>
      </c>
      <c r="G996" t="s">
        <v>86</v>
      </c>
      <c r="H996" t="s">
        <v>48</v>
      </c>
      <c r="I996" s="1">
        <v>8</v>
      </c>
      <c r="J996" s="1" t="str">
        <f t="shared" si="163"/>
        <v>5-10</v>
      </c>
      <c r="K996" s="1">
        <v>3.9</v>
      </c>
      <c r="L996" s="1">
        <v>30</v>
      </c>
      <c r="M996" s="1">
        <f t="shared" si="164"/>
        <v>30</v>
      </c>
      <c r="N996" s="1">
        <f t="shared" si="168"/>
        <v>30</v>
      </c>
      <c r="O996" t="s">
        <v>1054</v>
      </c>
      <c r="P996" s="4">
        <f>[2]Sheet1!K996</f>
        <v>0.95</v>
      </c>
    </row>
    <row r="997" spans="1:16" x14ac:dyDescent="0.35">
      <c r="A997" t="s">
        <v>1047</v>
      </c>
      <c r="B997" t="str">
        <f>TRIM([1]Sheet1!AD997)</f>
        <v>Albert Wilcox</v>
      </c>
      <c r="C997" t="str">
        <f>IF(UPPER(LEFT([1]Sheet1!W997,1))="F","FEMALE","MALE")</f>
        <v>MALE</v>
      </c>
      <c r="D997">
        <v>56</v>
      </c>
      <c r="E997" t="s">
        <v>32</v>
      </c>
      <c r="F997" t="s">
        <v>32</v>
      </c>
      <c r="G997" t="s">
        <v>33</v>
      </c>
      <c r="H997" t="s">
        <v>48</v>
      </c>
      <c r="I997" s="1">
        <v>13</v>
      </c>
      <c r="J997" s="1" t="str">
        <f t="shared" si="163"/>
        <v>11-16</v>
      </c>
      <c r="K997" s="1">
        <v>0</v>
      </c>
      <c r="L997" s="1">
        <v>100</v>
      </c>
      <c r="M997" s="1">
        <f t="shared" si="164"/>
        <v>100</v>
      </c>
      <c r="N997" s="1">
        <f t="shared" si="168"/>
        <v>100</v>
      </c>
      <c r="O997" t="s">
        <v>1053</v>
      </c>
      <c r="P997" s="4">
        <f>[2]Sheet1!K997</f>
        <v>0.68</v>
      </c>
    </row>
    <row r="998" spans="1:16" x14ac:dyDescent="0.35">
      <c r="A998" t="s">
        <v>1048</v>
      </c>
      <c r="B998" t="str">
        <f>TRIM([1]Sheet1!AD998)</f>
        <v>Cheryl Norris</v>
      </c>
      <c r="C998" t="str">
        <f>IF(UPPER(LEFT([1]Sheet1!W998,1))="F","FEMALE","MALE")</f>
        <v>FEMALE</v>
      </c>
      <c r="D998">
        <v>26</v>
      </c>
      <c r="E998" t="s">
        <v>14</v>
      </c>
      <c r="F998" t="s">
        <v>14</v>
      </c>
      <c r="G998" t="s">
        <v>15</v>
      </c>
      <c r="H998" t="s">
        <v>8</v>
      </c>
      <c r="I998" s="1">
        <v>6</v>
      </c>
      <c r="J998" s="1" t="str">
        <f t="shared" si="163"/>
        <v>5-10</v>
      </c>
      <c r="K998" s="1">
        <v>2.8</v>
      </c>
      <c r="L998" s="1" t="s">
        <v>1064</v>
      </c>
      <c r="M998" s="1" t="str">
        <f t="shared" si="164"/>
        <v>USD 40</v>
      </c>
      <c r="N998" s="1">
        <v>40</v>
      </c>
      <c r="O998" t="s">
        <v>1053</v>
      </c>
      <c r="P998" s="3">
        <f>[2]Sheet1!K998/100</f>
        <v>0.82</v>
      </c>
    </row>
    <row r="999" spans="1:16" x14ac:dyDescent="0.35">
      <c r="A999" t="s">
        <v>1049</v>
      </c>
      <c r="B999" t="str">
        <f>TRIM([1]Sheet1!AD999)</f>
        <v>Kathy Watkins</v>
      </c>
      <c r="C999" t="str">
        <f>IF(UPPER(LEFT([1]Sheet1!W999,1))="F","FEMALE","MALE")</f>
        <v>FEMALE</v>
      </c>
      <c r="D999">
        <v>37</v>
      </c>
      <c r="E999" t="s">
        <v>45</v>
      </c>
      <c r="F999" t="s">
        <v>45</v>
      </c>
      <c r="G999" t="s">
        <v>46</v>
      </c>
      <c r="H999" t="s">
        <v>27</v>
      </c>
      <c r="I999" s="1">
        <v>15</v>
      </c>
      <c r="J999" s="1" t="str">
        <f t="shared" si="163"/>
        <v>11-16</v>
      </c>
      <c r="L999" s="1">
        <v>75</v>
      </c>
      <c r="M999" s="1">
        <f t="shared" si="164"/>
        <v>75</v>
      </c>
      <c r="N999" s="1">
        <f t="shared" ref="N999:N1001" si="169">M999</f>
        <v>75</v>
      </c>
      <c r="O999" t="s">
        <v>1053</v>
      </c>
      <c r="P999" s="4">
        <f>[2]Sheet1!K999</f>
        <v>0.94</v>
      </c>
    </row>
    <row r="1000" spans="1:16" x14ac:dyDescent="0.35">
      <c r="A1000" t="s">
        <v>1050</v>
      </c>
      <c r="B1000" t="str">
        <f>TRIM([1]Sheet1!AD1000)</f>
        <v>John Obrien</v>
      </c>
      <c r="C1000" t="str">
        <f>IF(UPPER(LEFT([1]Sheet1!W1000,1))="F","FEMALE","MALE")</f>
        <v>MALE</v>
      </c>
      <c r="D1000">
        <v>46</v>
      </c>
      <c r="E1000" t="s">
        <v>67</v>
      </c>
      <c r="F1000" t="s">
        <v>67</v>
      </c>
      <c r="G1000" t="s">
        <v>68</v>
      </c>
      <c r="H1000" t="s">
        <v>62</v>
      </c>
      <c r="I1000" s="1">
        <v>22</v>
      </c>
      <c r="J1000" s="1" t="str">
        <f t="shared" si="163"/>
        <v>21- 25</v>
      </c>
      <c r="K1000" s="1">
        <v>2.8</v>
      </c>
      <c r="L1000" s="1">
        <v>100</v>
      </c>
      <c r="M1000" s="1">
        <f t="shared" si="164"/>
        <v>100</v>
      </c>
      <c r="N1000" s="1">
        <f t="shared" si="169"/>
        <v>100</v>
      </c>
      <c r="O1000" t="s">
        <v>1054</v>
      </c>
      <c r="P1000" s="3">
        <f>[2]Sheet1!K1000/100</f>
        <v>0.97</v>
      </c>
    </row>
    <row r="1001" spans="1:16" x14ac:dyDescent="0.35">
      <c r="A1001" t="s">
        <v>1051</v>
      </c>
      <c r="B1001" t="str">
        <f>TRIM([1]Sheet1!AD1001)</f>
        <v>Dawn Green</v>
      </c>
      <c r="C1001" t="str">
        <f>IF(UPPER(LEFT([1]Sheet1!W1001,1))="F","FEMALE","MALE")</f>
        <v>FEMALE</v>
      </c>
      <c r="D1001">
        <v>36</v>
      </c>
      <c r="E1001" t="s">
        <v>99</v>
      </c>
      <c r="F1001" t="s">
        <v>99</v>
      </c>
      <c r="G1001" t="s">
        <v>38</v>
      </c>
      <c r="H1001" t="s">
        <v>39</v>
      </c>
      <c r="I1001" s="1">
        <v>18</v>
      </c>
      <c r="J1001" s="1" t="str">
        <f t="shared" si="163"/>
        <v xml:space="preserve"> 16-20</v>
      </c>
      <c r="K1001" s="1">
        <v>1.7</v>
      </c>
      <c r="L1001" s="2">
        <v>20</v>
      </c>
      <c r="M1001" s="1">
        <f t="shared" si="164"/>
        <v>20</v>
      </c>
      <c r="N1001" s="1">
        <f t="shared" si="169"/>
        <v>20</v>
      </c>
      <c r="O1001" t="s">
        <v>1054</v>
      </c>
      <c r="P1001" s="3">
        <f>[2]Sheet1!K1001/100</f>
        <v>0.72</v>
      </c>
    </row>
  </sheetData>
  <conditionalFormatting sqref="A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2026-10-03T00:39:14Z</dcterms:modified>
</cp:coreProperties>
</file>